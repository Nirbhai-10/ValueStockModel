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ortfolio_25" sheetId="2" r:id="rId6"/>
    <sheet state="visible" name="Sector Allocation " sheetId="3" r:id="rId7"/>
    <sheet state="visible" name="Top_Picks" sheetId="4" r:id="rId8"/>
    <sheet state="visible" name="data_dump" sheetId="5" r:id="rId9"/>
    <sheet state="visible" name="Diagnostics" sheetId="6" r:id="rId10"/>
    <sheet state="visible" name="Industry_to_Sector" sheetId="7" r:id="rId11"/>
  </sheets>
  <definedNames>
    <definedName hidden="1" localSheetId="1" name="_xlnm._FilterDatabase">Portfolio_25!$A$1:$V$59</definedName>
    <definedName hidden="1" localSheetId="3" name="_xlnm._FilterDatabase">Top_Picks!$A$1:$Y$31</definedName>
    <definedName hidden="1" localSheetId="4" name="_xlnm._FilterDatabase">data_dump!$A$1:$DA$80</definedName>
    <definedName hidden="1" localSheetId="6" name="_xlnm._FilterDatabase">Industry_to_Sector!$A$1:$C$72</definedName>
  </definedNames>
  <calcPr/>
</workbook>
</file>

<file path=xl/sharedStrings.xml><?xml version="1.0" encoding="utf-8"?>
<sst xmlns="http://schemas.openxmlformats.org/spreadsheetml/2006/main" count="1090" uniqueCount="379">
  <si>
    <t>Value Screener Output : Model Summary</t>
  </si>
  <si>
    <t>1) Initial Screener.in filter used</t>
  </si>
  <si>
    <t xml:space="preserve">Market Capitalization &gt; 500
AND Current price &gt; 20
AND (
  (Price to Earning &gt; 0 AND Price to Earning &lt; 25)
  OR (EVEBITDA &gt; 0 AND EVEBITDA &lt; 16)
  OR (Price to Free Cash Flow &gt; 0 AND Price to Free Cash Flow &lt; 20)
  OR (Price to book value &gt; 0 AND Price to book value &lt; 4.5)
)
AND (Return on capital employed &gt; 12 OR Return on equity &gt; 12)
AND Piotroski score &gt; 5
AND (Operating cash flow 3years &gt; 0 OR Free cash flow 3years &gt; 0)
AND Debt to equity &lt; 1.5
AND (Interest Coverage Ratio &gt; 2 OR Debt to equity &lt; 0.5)
AND Pledged percentage &lt; 10
AND ((Promoter holding &gt; 50 AND Market Capitalization &lt; 5000) OR (Promoter holding &gt; 30 AND Market Capitalization &gt; 5000))
AND (Current price &gt; DMA 200 OR DMA 50 &gt; DMA 200 OR Return over 6months &gt; 0)
AND Down from 52w high &lt; 50
</t>
  </si>
  <si>
    <t>2) Scoring logic + rationale</t>
  </si>
  <si>
    <r>
      <rPr>
        <rFont val="Arial"/>
        <color rgb="FF000000"/>
        <sz val="11.0"/>
      </rPr>
      <t xml:space="preserve">2) What we did after the screen 
</t>
    </r>
    <r>
      <rPr>
        <rFont val="Arial"/>
        <color rgb="FF000000"/>
        <sz val="11.0"/>
        <u/>
      </rPr>
      <t>Step A : We scored each stock on 5 buckets:</t>
    </r>
    <r>
      <rPr>
        <rFont val="Arial"/>
        <color rgb="FF000000"/>
        <sz val="11.0"/>
      </rPr>
      <t xml:space="preserve">
• Value (cheapness): uses multiple valuation angles (P/E, P/B, EV/EBITDA, Earnings Yield, P/FCF, and also P/E &amp; P/B relative to the industry).
• Quality: checks whether the business earns good returns and has healthy financial signals (ROCE, ROE, ROA, Piotroski score, G‑Factor).
• Safety: reduces blow‑ups by preferring lower leverage and healthier balance sheets (Debt/Equity, Interest Coverage, Quick Ratio, Altman Z, low pledging, and decent promoter holding).
• Cash: confirms that profits are backed by cash (CFO/FCF over 3–5 years scaled by market cap).
• Momentum: a small check to avoid buying stocks in a strong downtrend (6‑month return + DMA trend).
</t>
    </r>
    <r>
      <rPr>
        <rFont val="Arial"/>
        <color rgb="FF000000"/>
        <sz val="11.0"/>
        <u/>
      </rPr>
      <t>Step B : We convert every metric into a 0–1 score using percentile ranks inside your universe.</t>
    </r>
    <r>
      <rPr>
        <rFont val="Arial"/>
        <color rgb="FF000000"/>
        <sz val="11.0"/>
      </rPr>
      <t xml:space="preserve">
• For ratios where lower is better (like P/E), lower values get higher scores.
• For ratios where higher is better (like ROCE), higher values get higher scores.
• If a metric is missing for a stock, the model automatically ignores it and re‑weights the remaining metrics.
</t>
    </r>
    <r>
      <rPr>
        <rFont val="Arial"/>
        <color rgb="FF000000"/>
        <sz val="11.0"/>
        <u/>
      </rPr>
      <t>Step C : We combine scores into a FinalScore:</t>
    </r>
    <r>
      <rPr>
        <rFont val="Arial"/>
        <color rgb="FF000000"/>
        <sz val="11.0"/>
      </rPr>
      <t xml:space="preserve">
FinalScore = 40% Value + 25% Quality + 20% Safety + 10% Cash + 5% Momentum
We also apply small penalties for common value‑trap signals (very weak Piotroski, very high debt, weak interest cover, high pledging, very negative 6‑month return).
</t>
    </r>
    <r>
      <rPr>
        <rFont val="Arial"/>
        <color rgb="FF000000"/>
        <sz val="11.0"/>
        <u/>
      </rPr>
      <t xml:space="preserve">3) Why these rules make sense </t>
    </r>
    <r>
      <rPr>
        <rFont val="Arial"/>
        <color rgb="FF000000"/>
        <sz val="11.0"/>
      </rPr>
      <t xml:space="preserve">
The aim is to find stocks that are:
• Cheap for a reason we can measure (not just one ratio).
• Not financially weak (so we avoid value traps).
• Actually generating cash (so profits are real).
• Not overly dependent on promoter pledging.
• Not in a sharp downtrend (basic trend check).
4) How to read the output sheets
• Main sheet: full universe with all scores + Pass_All flags + Rank.
• Top_Picks: top passing names (quick review list).
• Portfolio_25: top 25 passing names + suggested equal weights.
• Sector_Allocation: broad sector split of your Portfolio_25.
</t>
    </r>
  </si>
  <si>
    <t>Weights used</t>
  </si>
  <si>
    <t>Value 40% | Quality 25% | Safety 20% | Cash 10% | Momentum 5%</t>
  </si>
  <si>
    <t>Rank</t>
  </si>
  <si>
    <t>Industry</t>
  </si>
  <si>
    <t>Broad Sector</t>
  </si>
  <si>
    <t>Company</t>
  </si>
  <si>
    <t>Name</t>
  </si>
  <si>
    <t>Mar Cap Rs.Cr.</t>
  </si>
  <si>
    <t>CMP Rs.</t>
  </si>
  <si>
    <t>FinalScore</t>
  </si>
  <si>
    <t>ValueScore</t>
  </si>
  <si>
    <t>QualityScore</t>
  </si>
  <si>
    <t>SafetyScore</t>
  </si>
  <si>
    <t>CashScore</t>
  </si>
  <si>
    <t>MomentumScore</t>
  </si>
  <si>
    <t>TrapLevel</t>
  </si>
  <si>
    <t>P/E</t>
  </si>
  <si>
    <t>CMP / BV</t>
  </si>
  <si>
    <t>EV / EBITDA</t>
  </si>
  <si>
    <t>Earnings Yield %</t>
  </si>
  <si>
    <t>Debt / Eq</t>
  </si>
  <si>
    <t>Int Coverage</t>
  </si>
  <si>
    <t>Altman Z Scr</t>
  </si>
  <si>
    <t>Pledged %</t>
  </si>
  <si>
    <t>Prom. Hold. %</t>
  </si>
  <si>
    <t>6mth return %</t>
  </si>
  <si>
    <t>Weight25</t>
  </si>
  <si>
    <t>Pharmaceuticals</t>
  </si>
  <si>
    <t>Healthcare</t>
  </si>
  <si>
    <t>Natco Pharma</t>
  </si>
  <si>
    <t>Pharmaceuticals | Natco Pharma</t>
  </si>
  <si>
    <t>Low</t>
  </si>
  <si>
    <t>Metals &amp; Mining (Aluminium)</t>
  </si>
  <si>
    <t>Materials</t>
  </si>
  <si>
    <t>Natl. Aluminium</t>
  </si>
  <si>
    <t>Metals &amp; Mining (Aluminium) | Natl. Aluminium</t>
  </si>
  <si>
    <t>Energy (LNG import &amp; regasification)</t>
  </si>
  <si>
    <t>Energy</t>
  </si>
  <si>
    <t>Petronet LNG</t>
  </si>
  <si>
    <t>Energy (LNG import &amp; regasification) | Petronet LNG</t>
  </si>
  <si>
    <t>Textiles / Synthetic Leather (Coated fabrics)</t>
  </si>
  <si>
    <t>Consumer Discretionary</t>
  </si>
  <si>
    <t>Mayur Uniquoters</t>
  </si>
  <si>
    <t>Textiles / Synthetic Leather (Coated fabrics) | Mayur Uniquoters</t>
  </si>
  <si>
    <t>Shipping &amp; Offshore services</t>
  </si>
  <si>
    <t>Other</t>
  </si>
  <si>
    <t>GE Shipping Co</t>
  </si>
  <si>
    <t>Shipping &amp; Offshore services | GE Shipping Co</t>
  </si>
  <si>
    <t>Medium</t>
  </si>
  <si>
    <t>Ports &amp; Logistics</t>
  </si>
  <si>
    <t>Industrials</t>
  </si>
  <si>
    <t>Guj Pipavav Port</t>
  </si>
  <si>
    <t>Ports &amp; Logistics | Guj Pipavav Port</t>
  </si>
  <si>
    <t>Telecom Infrastructure (Tower company)</t>
  </si>
  <si>
    <t>Communication Services</t>
  </si>
  <si>
    <t>Indus Towers</t>
  </si>
  <si>
    <t>Telecom Infrastructure (Tower company) | Indus Towers</t>
  </si>
  <si>
    <t>Power &amp; Metals (Diversified)</t>
  </si>
  <si>
    <t>Utilities</t>
  </si>
  <si>
    <t>Nava</t>
  </si>
  <si>
    <t>Power &amp; Metals (Diversified) | Nava</t>
  </si>
  <si>
    <t>FMCG / Processed Foods (Bakery / biscuits)</t>
  </si>
  <si>
    <t>Information Technology</t>
  </si>
  <si>
    <t>Integ. Industrie</t>
  </si>
  <si>
    <t>FMCG / Processed Foods (Bakery / biscuits) | Integ. Industrie</t>
  </si>
  <si>
    <t>Textiles (Yarn / knitting)</t>
  </si>
  <si>
    <t>Sportking India</t>
  </si>
  <si>
    <t>Textiles (Yarn / knitting) | Sportking India</t>
  </si>
  <si>
    <t>Automobiles (Two-wheelers)</t>
  </si>
  <si>
    <t>Hero Motocorp</t>
  </si>
  <si>
    <t>Automobiles (Two-wheelers) | Hero Motocorp</t>
  </si>
  <si>
    <t>Textiles (Synthetic fabric / yarn)</t>
  </si>
  <si>
    <t>Borana Weaves</t>
  </si>
  <si>
    <t>Textiles (Synthetic fabric / yarn) | Borana Weaves</t>
  </si>
  <si>
    <t>Metals (Aluminium &amp; Copper)</t>
  </si>
  <si>
    <t>Hindalco Inds.</t>
  </si>
  <si>
    <t>Metals (Aluminium &amp; Copper) | Hindalco Inds.</t>
  </si>
  <si>
    <t>Specialty Ingredients (Natural caffeine / herbal extracts)</t>
  </si>
  <si>
    <t>Shri Ahimsa</t>
  </si>
  <si>
    <t>Specialty Ingredients (Natural caffeine / herbal extracts) | Shri Ahimsa</t>
  </si>
  <si>
    <t>Textiles (Spinning / yarn)</t>
  </si>
  <si>
    <t>Nitin Spinners</t>
  </si>
  <si>
    <t>Textiles (Spinning / yarn) | Nitin Spinners</t>
  </si>
  <si>
    <t>Auto Components (Wheels / engineered components)</t>
  </si>
  <si>
    <t>Wheels India</t>
  </si>
  <si>
    <t>Auto Components (Wheels / engineered components) | Wheels India</t>
  </si>
  <si>
    <t>Metals &amp; Mining (Zinc/Lead)</t>
  </si>
  <si>
    <t>Hindustan Zinc</t>
  </si>
  <si>
    <t>Metals &amp; Mining (Zinc/Lead) | Hindustan Zinc</t>
  </si>
  <si>
    <t>Food Processing (Egg products)</t>
  </si>
  <si>
    <t>Consumer Staples</t>
  </si>
  <si>
    <t>SKM Egg Prod.</t>
  </si>
  <si>
    <t>Food Processing (Egg products) | SKM Egg Prod.</t>
  </si>
  <si>
    <t>Building Materials (Granite &amp; Quartz surfaces)</t>
  </si>
  <si>
    <t>Pokarna</t>
  </si>
  <si>
    <t>Building Materials (Granite &amp; Quartz surfaces) | Pokarna</t>
  </si>
  <si>
    <t>Retail / E-commerce (Fashion jewellery &amp; lifestyle)</t>
  </si>
  <si>
    <t>Vaibhav Global</t>
  </si>
  <si>
    <t>Retail / E-commerce (Fashion jewellery &amp; lifestyle) | Vaibhav Global</t>
  </si>
  <si>
    <t>Auto Components (Lighting / mirrors etc.)</t>
  </si>
  <si>
    <t>Fiem Industries</t>
  </si>
  <si>
    <t>Auto Components (Lighting / mirrors etc.) | Fiem Industries</t>
  </si>
  <si>
    <t>Industrial Machinery (Packaging / bag &amp; pouch machines)</t>
  </si>
  <si>
    <t>Mamata Machinery</t>
  </si>
  <si>
    <t>Industrial Machinery (Packaging / bag &amp; pouch machines) | Mamata Machinery</t>
  </si>
  <si>
    <t>Engineering &amp; Construction (EPC / consulting)</t>
  </si>
  <si>
    <t>Engineers India</t>
  </si>
  <si>
    <t>Engineering &amp; Construction (EPC / consulting) | Engineers India</t>
  </si>
  <si>
    <t>Auto Components (Axles &amp; transmissions for tractors/construction)</t>
  </si>
  <si>
    <t>Carraro India</t>
  </si>
  <si>
    <t>Auto Components (Axles &amp; transmissions for tractors/construction) | Carraro India</t>
  </si>
  <si>
    <t>IT Services (Software services)</t>
  </si>
  <si>
    <t>InfoBeans Tech.</t>
  </si>
  <si>
    <t>IT Services (Software services) | InfoBeans Tech.</t>
  </si>
  <si>
    <t>Auto Components (Engine cooling &amp; sealing systems)</t>
  </si>
  <si>
    <t>Banco Products</t>
  </si>
  <si>
    <t>Auto Components (Engine cooling &amp; sealing systems) | Banco Products</t>
  </si>
  <si>
    <t>Auto Components (Automotive systems/parts)</t>
  </si>
  <si>
    <t>CIE Automotive</t>
  </si>
  <si>
    <t>Auto Components (Automotive systems/parts) | CIE Automotive</t>
  </si>
  <si>
    <t>Publishing &amp; Stationery (Education content)</t>
  </si>
  <si>
    <t>Navneet Educat.</t>
  </si>
  <si>
    <t>Publishing &amp; Stationery (Education content) | Navneet Educat.</t>
  </si>
  <si>
    <t>Agrochemicals (Crop protection)</t>
  </si>
  <si>
    <t>Sharda Cropchem</t>
  </si>
  <si>
    <t>Agrochemicals (Crop protection) | Sharda Cropchem</t>
  </si>
  <si>
    <t>Industrial Manufacturing (Power equipment)</t>
  </si>
  <si>
    <t>GE Power</t>
  </si>
  <si>
    <t>Industrial Manufacturing (Power equipment) | GE Power</t>
  </si>
  <si>
    <t>Pharmaceuticals (CDMO / Contract manufacturing)</t>
  </si>
  <si>
    <t>Akums Drugs</t>
  </si>
  <si>
    <t>Pharmaceuticals (CDMO / Contract manufacturing) | Akums Drugs</t>
  </si>
  <si>
    <t>Auto Components</t>
  </si>
  <si>
    <t>Sandhar Tech</t>
  </si>
  <si>
    <t>Auto Components | Sandhar Tech</t>
  </si>
  <si>
    <t>IT Services</t>
  </si>
  <si>
    <t>Tech Mahindra</t>
  </si>
  <si>
    <t>IT Services | Tech Mahindra</t>
  </si>
  <si>
    <t>Utilities / Power Generation</t>
  </si>
  <si>
    <t>Adani Power</t>
  </si>
  <si>
    <t>Utilities / Power Generation | Adani Power</t>
  </si>
  <si>
    <t>Lupin</t>
  </si>
  <si>
    <t>Pharmaceuticals | Lupin</t>
  </si>
  <si>
    <t>Mining &amp; Minerals (Lignite etc.)</t>
  </si>
  <si>
    <t>G M D C</t>
  </si>
  <si>
    <t>Mining &amp; Minerals (Lignite etc.) | G M D C</t>
  </si>
  <si>
    <t>Logistics &amp; Transportation</t>
  </si>
  <si>
    <t>VRL Logistics</t>
  </si>
  <si>
    <t>Logistics &amp; Transportation | VRL Logistics</t>
  </si>
  <si>
    <t>Retail (Apparel)</t>
  </si>
  <si>
    <t>Cantabil Retail</t>
  </si>
  <si>
    <t>Retail (Apparel) | Cantabil Retail</t>
  </si>
  <si>
    <t>Specialty Materials (Polyester / specialty films)</t>
  </si>
  <si>
    <t>Garware Hi Tech</t>
  </si>
  <si>
    <t>Specialty Materials (Polyester / specialty films) | Garware Hi Tech</t>
  </si>
  <si>
    <t>Food Processing (Cashew / Dry Fruits)</t>
  </si>
  <si>
    <t>Pajson Agro</t>
  </si>
  <si>
    <t>Food Processing (Cashew / Dry Fruits) | Pajson Agro</t>
  </si>
  <si>
    <t>Real Estate (Office REIT / Realty)</t>
  </si>
  <si>
    <t>Knowledge Realty</t>
  </si>
  <si>
    <t>Real Estate (Office REIT / Realty) | Knowledge Realty</t>
  </si>
  <si>
    <t>Fertilisers &amp; Chemicals (Phosphatic fertilisers)</t>
  </si>
  <si>
    <t>Krishana Phosch.</t>
  </si>
  <si>
    <t>Fertilisers &amp; Chemicals (Phosphatic fertilisers) | Krishana Phosch.</t>
  </si>
  <si>
    <t>Specialty Chemicals (Chromium/Barium compounds)</t>
  </si>
  <si>
    <t>Vishnu Chemicals</t>
  </si>
  <si>
    <t>Specialty Chemicals (Chromium/Barium compounds) | Vishnu Chemicals</t>
  </si>
  <si>
    <t>Emcure Pharma</t>
  </si>
  <si>
    <t>Pharmaceuticals | Emcure Pharma</t>
  </si>
  <si>
    <t>Metals (Iron &amp; Steel)</t>
  </si>
  <si>
    <t>Gallantt Ispat L</t>
  </si>
  <si>
    <t>Metals (Iron &amp; Steel) | Gallantt Ispat L</t>
  </si>
  <si>
    <t>Granules India</t>
  </si>
  <si>
    <t>Pharmaceuticals | Granules India</t>
  </si>
  <si>
    <t>Chemicals (Specialty chemicals)</t>
  </si>
  <si>
    <t>India Glycols</t>
  </si>
  <si>
    <t>Chemicals (Specialty chemicals) | India Glycols</t>
  </si>
  <si>
    <t>High</t>
  </si>
  <si>
    <t>Auto Components (Seating &amp; interiors)</t>
  </si>
  <si>
    <t>Bharat Seats</t>
  </si>
  <si>
    <t>Auto Components (Seating &amp; interiors) | Bharat Seats</t>
  </si>
  <si>
    <t>Agricultural Machinery / Tractors</t>
  </si>
  <si>
    <t>Escorts Kubota</t>
  </si>
  <si>
    <t>Agricultural Machinery / Tractors | Escorts Kubota</t>
  </si>
  <si>
    <t>Industrial Manufacturing (Forgings)</t>
  </si>
  <si>
    <t>M M Forgings</t>
  </si>
  <si>
    <t>Industrial Manufacturing (Forgings) | M M Forgings</t>
  </si>
  <si>
    <t>Utilities / Power (Generation &amp; distribution)</t>
  </si>
  <si>
    <t>Torrent Power</t>
  </si>
  <si>
    <t>Utilities / Power (Generation &amp; distribution) | Torrent Power</t>
  </si>
  <si>
    <t>Healthcare Services (Hospital)</t>
  </si>
  <si>
    <t>Artemis Medicare</t>
  </si>
  <si>
    <t>Healthcare Services (Hospital) | Artemis Medicare</t>
  </si>
  <si>
    <t>Hospitality (Luxury hotels)</t>
  </si>
  <si>
    <t>Leela Palaces Hotels</t>
  </si>
  <si>
    <t>Hospitality (Luxury hotels) | Leela Palaces Hotels</t>
  </si>
  <si>
    <t>Media &amp; Advertising (DOOH / outdoor advertising)</t>
  </si>
  <si>
    <t>Signpost India</t>
  </si>
  <si>
    <t>Media &amp; Advertising (DOOH / outdoor advertising) | Signpost India</t>
  </si>
  <si>
    <t>Samvardh. Mothe.</t>
  </si>
  <si>
    <t>Auto Components | Samvardh. Mothe.</t>
  </si>
  <si>
    <t>Textiles (Home textiles)</t>
  </si>
  <si>
    <t>Welspun Living</t>
  </si>
  <si>
    <t>Textiles (Home textiles) | Welspun Living</t>
  </si>
  <si>
    <t>Auto Components (Auto systems/parts)</t>
  </si>
  <si>
    <t>Belrise Industri</t>
  </si>
  <si>
    <t>Auto Components (Auto systems/parts) | Belrise Industri</t>
  </si>
  <si>
    <t>Electrical Equipment (Winding / enamelled copper wires)</t>
  </si>
  <si>
    <t>Ram Ratna Wires</t>
  </si>
  <si>
    <t>Electrical Equipment (Winding / enamelled copper wires) | Ram Ratna Wires</t>
  </si>
  <si>
    <t>Sector</t>
  </si>
  <si>
    <t>Weight_Percent</t>
  </si>
  <si>
    <t>Ind PE</t>
  </si>
  <si>
    <t>Rel_PE</t>
  </si>
  <si>
    <t>Ind PBV</t>
  </si>
  <si>
    <t>Rel_PB</t>
  </si>
  <si>
    <t>CMP / FCF</t>
  </si>
  <si>
    <t>ROCE %</t>
  </si>
  <si>
    <t>ROE %</t>
  </si>
  <si>
    <t>Piotski Scr</t>
  </si>
  <si>
    <t>Quick Rat</t>
  </si>
  <si>
    <t>S.No.</t>
  </si>
  <si>
    <t>ROA 12M %</t>
  </si>
  <si>
    <t>G Factor</t>
  </si>
  <si>
    <t>Vol 1d</t>
  </si>
  <si>
    <t>Avg Vol 1Yr</t>
  </si>
  <si>
    <t>50 DMA Rs.</t>
  </si>
  <si>
    <t>200 DMA Rs.</t>
  </si>
  <si>
    <t>CF Opr 5Yrs Rs.Cr.</t>
  </si>
  <si>
    <t>Free Cash Flow 5Yrs Rs.Cr.</t>
  </si>
  <si>
    <t>Free Cash Flow 3Yrs Rs.Cr.</t>
  </si>
  <si>
    <t>Rel PE (P/E ÷ Ind)</t>
  </si>
  <si>
    <t>Rel PB (P/B ÷ Ind)</t>
  </si>
  <si>
    <t>Price/200DMA</t>
  </si>
  <si>
    <t>CFO5Y / MCap</t>
  </si>
  <si>
    <t>FCF5Y / MCap</t>
  </si>
  <si>
    <t>FCF3Y / MCap</t>
  </si>
  <si>
    <t>Score PE</t>
  </si>
  <si>
    <t>Score PB</t>
  </si>
  <si>
    <t>Score EV/EBITDA</t>
  </si>
  <si>
    <t>Score Earnings Yield</t>
  </si>
  <si>
    <t>Score P/FCF</t>
  </si>
  <si>
    <t>Score Rel PE</t>
  </si>
  <si>
    <t>Score Rel PB</t>
  </si>
  <si>
    <t>ValueScore (weighted)</t>
  </si>
  <si>
    <t>Score ROCE</t>
  </si>
  <si>
    <t>Score ROE</t>
  </si>
  <si>
    <t>Score ROA</t>
  </si>
  <si>
    <t>Score Piotroski</t>
  </si>
  <si>
    <t>Score G Factor</t>
  </si>
  <si>
    <t>QualityScore (weighted)</t>
  </si>
  <si>
    <t>Score Debt/Eq</t>
  </si>
  <si>
    <t>Score Int Coverage</t>
  </si>
  <si>
    <t>Score Quick Ratio</t>
  </si>
  <si>
    <t>Score Altman Z</t>
  </si>
  <si>
    <t>Score Pledged%</t>
  </si>
  <si>
    <t>Score Promoter%</t>
  </si>
  <si>
    <t>SafetyScore (weighted)</t>
  </si>
  <si>
    <t>Score CFO yield</t>
  </si>
  <si>
    <t>Score FCF5Y yield</t>
  </si>
  <si>
    <t>Score FCF3Y yield</t>
  </si>
  <si>
    <t>Score 6m return</t>
  </si>
  <si>
    <t>Trend OK (1/0)</t>
  </si>
  <si>
    <t>LiquidityScore (AvgVol)</t>
  </si>
  <si>
    <t>ValueTrapRisk</t>
  </si>
  <si>
    <t>TrapRisk Level</t>
  </si>
  <si>
    <t>Universe_OK</t>
  </si>
  <si>
    <t>Value_OK</t>
  </si>
  <si>
    <t>Quality_OK</t>
  </si>
  <si>
    <t>Safety_OK</t>
  </si>
  <si>
    <t>Pass_All</t>
  </si>
  <si>
    <t>Rank_Pass</t>
  </si>
  <si>
    <t>Suggested Weight (Top25)</t>
  </si>
  <si>
    <t>Num_CMP Rs.</t>
  </si>
  <si>
    <t>Num_Mar Cap Rs.Cr.</t>
  </si>
  <si>
    <t>Num_P/E</t>
  </si>
  <si>
    <t>Num_Ind PE</t>
  </si>
  <si>
    <t>Num_CMP / BV</t>
  </si>
  <si>
    <t>Num_Ind PBV</t>
  </si>
  <si>
    <t>Num_EV / EBITDA</t>
  </si>
  <si>
    <t>Num_CMP / FCF</t>
  </si>
  <si>
    <t>Num_ROCE %</t>
  </si>
  <si>
    <t>Num_ROE %</t>
  </si>
  <si>
    <t>Num_ROA 12M %</t>
  </si>
  <si>
    <t>Num_G Factor</t>
  </si>
  <si>
    <t>Num_Earnings Yield %</t>
  </si>
  <si>
    <t>Num_Piotski Scr</t>
  </si>
  <si>
    <t>Num_Debt / Eq</t>
  </si>
  <si>
    <t>Num_Int Coverage</t>
  </si>
  <si>
    <t>Num_Quick Rat</t>
  </si>
  <si>
    <t>Num_Altman Z Scr</t>
  </si>
  <si>
    <t>Num_Prom. Hold. %</t>
  </si>
  <si>
    <t>Num_Pledged %</t>
  </si>
  <si>
    <t>Num_Avg Vol 1Yr</t>
  </si>
  <si>
    <t>Num_6mth return %</t>
  </si>
  <si>
    <t>Num_50 DMA Rs.</t>
  </si>
  <si>
    <t>Num_200 DMA Rs.</t>
  </si>
  <si>
    <t>Num_CF Opr 5Yrs Rs.Cr.</t>
  </si>
  <si>
    <t>Num_Free Cash Flow 5Yrs Rs.Cr.</t>
  </si>
  <si>
    <t>Num_Free Cash Flow 3Yrs Rs.Cr.</t>
  </si>
  <si>
    <t>Healthcare Services / Life Sciences Solutions</t>
  </si>
  <si>
    <t>One Global Serv</t>
  </si>
  <si>
    <t>Healthcare Services / Life Sciences Solutions | One Global Serv</t>
  </si>
  <si>
    <t>Industrial Manufacturing (Alloy steel castings)</t>
  </si>
  <si>
    <t>Uni Abex Alloy</t>
  </si>
  <si>
    <t>Industrial Manufacturing (Alloy steel castings) | Uni Abex Alloy</t>
  </si>
  <si>
    <t>Specialty Materials (Engineering plastics / polymer compounds)</t>
  </si>
  <si>
    <t>Kingfa Science</t>
  </si>
  <si>
    <t>Specialty Materials (Engineering plastics / polymer compounds) | Kingfa Science</t>
  </si>
  <si>
    <t>Financial Services / FinTech (Payments / BC network)</t>
  </si>
  <si>
    <t>Financials</t>
  </si>
  <si>
    <t>RNFI Services</t>
  </si>
  <si>
    <t>Financial Services / FinTech (Payments / BC network) | RNFI Services</t>
  </si>
  <si>
    <t>Steel Products (Seamless/Welded tubes &amp; fittings)</t>
  </si>
  <si>
    <t>Gandhi Spl. Tube</t>
  </si>
  <si>
    <t>Steel Products (Seamless/Welded tubes &amp; fittings) | Gandhi Spl. Tube</t>
  </si>
  <si>
    <t>Industrial Manufacturing (Power transmission belts)</t>
  </si>
  <si>
    <t>Pix Transmission</t>
  </si>
  <si>
    <t>Industrial Manufacturing (Power transmission belts) | Pix Transmission</t>
  </si>
  <si>
    <t>Specialty Chemicals / Biotech (Vitamin D3 / enzymes)</t>
  </si>
  <si>
    <t>Fermenta Biotec.</t>
  </si>
  <si>
    <t>Specialty Chemicals / Biotech (Vitamin D3 / enzymes) | Fermenta Biotec.</t>
  </si>
  <si>
    <t>Auto Components (Axles / brakes)</t>
  </si>
  <si>
    <t>Automotive Axles</t>
  </si>
  <si>
    <t>Auto Components (Axles / brakes) | Automotive Axles</t>
  </si>
  <si>
    <t>Pradeep Metals</t>
  </si>
  <si>
    <t>Industrial Manufacturing (Forgings) | Pradeep Metals</t>
  </si>
  <si>
    <t>Kwality Pharma</t>
  </si>
  <si>
    <t>Pharmaceuticals | Kwality Pharma</t>
  </si>
  <si>
    <t>Novartis India</t>
  </si>
  <si>
    <t>Pharmaceuticals | Novartis India</t>
  </si>
  <si>
    <t>Life Insurance</t>
  </si>
  <si>
    <t>SBI Life Insuran</t>
  </si>
  <si>
    <t>Life Insurance | SBI Life Insuran</t>
  </si>
  <si>
    <t>Auto Components (Tyres)</t>
  </si>
  <si>
    <t>Balkrishna Inds</t>
  </si>
  <si>
    <t>Auto Components (Tyres) | Balkrishna Inds</t>
  </si>
  <si>
    <t>Auto Components (Automotive lighting)</t>
  </si>
  <si>
    <t>Lumax Industries</t>
  </si>
  <si>
    <t>Auto Components (Automotive lighting) | Lumax Industries</t>
  </si>
  <si>
    <t>Logistics (Road freight / FTL)</t>
  </si>
  <si>
    <t>Tejas Cargo</t>
  </si>
  <si>
    <t>Logistics (Road freight / FTL) | Tejas Cargo</t>
  </si>
  <si>
    <t>Auto Components / Electrical (Ignition systems etc.)</t>
  </si>
  <si>
    <t>India Nipp.Elec.</t>
  </si>
  <si>
    <t>Auto Components / Electrical (Ignition systems etc.) | India Nipp.Elec.</t>
  </si>
  <si>
    <t>General Insurance (Needs exact company name)</t>
  </si>
  <si>
    <t>General Insuranc</t>
  </si>
  <si>
    <t>General Insurance (Needs exact company name) | General Insuranc</t>
  </si>
  <si>
    <t>Chemicals</t>
  </si>
  <si>
    <t>Atul</t>
  </si>
  <si>
    <t>Chemicals | Atul</t>
  </si>
  <si>
    <t>Utilities / Power (Lignite + power generation)</t>
  </si>
  <si>
    <t>NLC India</t>
  </si>
  <si>
    <t>Utilities / Power (Lignite + power generation) | NLC India</t>
  </si>
  <si>
    <t>NTPC</t>
  </si>
  <si>
    <t>Utilities / Power Generation | NTPC</t>
  </si>
  <si>
    <t>Hospitality</t>
  </si>
  <si>
    <t>Viceroy Hotels</t>
  </si>
  <si>
    <t>Hospitality | Viceroy Hotels</t>
  </si>
  <si>
    <t>Metric</t>
  </si>
  <si>
    <t>Value</t>
  </si>
  <si>
    <t>Total stocks</t>
  </si>
  <si>
    <t>Pass_All count</t>
  </si>
  <si>
    <t>Top25 (Pass) count</t>
  </si>
  <si>
    <t>Avg FinalScore (Pass)</t>
  </si>
  <si>
    <t>Median FinalScore (Pass)</t>
  </si>
  <si>
    <t>Avg P/E (Pass)</t>
  </si>
  <si>
    <t>Avg P/B (Pass)</t>
  </si>
  <si>
    <t>Avg EV/EBITDA (Pass)</t>
  </si>
  <si>
    <t>Avg Debt/Eq (Pass)</t>
  </si>
  <si>
    <t>Avg 6m return % (Pass)</t>
  </si>
  <si>
    <t>Suggested Broad Sector</t>
  </si>
  <si>
    <t>Notes (edit sector if needed)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</si>
</sst>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8">
    <font>
      <sz val="10.0"/>
      <color rgb="FF000000"/>
      <name val="Arial"/>
      <scheme val="minor"/>
    </font>
    <font>
      <b/>
      <i/>
      <sz val="18.0"/>
      <color rgb="FF1F4E79"/>
      <name val="Arial"/>
      <scheme val="minor"/>
    </font>
    <font>
      <sz val="10.0"/>
      <color rgb="FF000000"/>
      <name val="Arial"/>
    </font>
    <font>
      <b/>
      <sz val="12.0"/>
      <color rgb="FF1F4E79"/>
      <name val="Arial"/>
      <scheme val="minor"/>
    </font>
    <font>
      <sz val="10.0"/>
      <color theme="1"/>
      <name val="Consolas"/>
    </font>
    <font>
      <sz val="11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u/>
      <color rgb="FFFFFFFF"/>
    </font>
    <font>
      <b/>
      <u/>
      <color rgb="FFFFFFFF"/>
    </font>
    <font>
      <color rgb="FF22222F"/>
      <name val="Inter"/>
    </font>
    <font>
      <u/>
      <color rgb="FF0000FF"/>
    </font>
    <font>
      <u/>
      <color rgb="FF1155CC"/>
      <name val="Inter"/>
    </font>
    <font>
      <u/>
      <color rgb="FF0000FF"/>
    </font>
    <font>
      <u/>
      <color rgb="FF1155CC"/>
      <name val="Inter"/>
    </font>
    <font>
      <color theme="1"/>
      <name val="Arial"/>
    </font>
    <font>
      <u/>
      <color rgb="FF1155CC"/>
      <name val="Inter"/>
    </font>
    <font>
      <u/>
      <color rgb="FF1155CC"/>
      <name val="Inter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1F4E79"/>
        <bgColor rgb="FF1F4E79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EDE7F6"/>
        <bgColor rgb="FFEDE7F6"/>
      </patternFill>
    </fill>
    <fill>
      <patternFill patternType="solid">
        <fgColor rgb="FFC6EFCE"/>
        <bgColor rgb="FFC6EFCE"/>
      </patternFill>
    </fill>
    <fill>
      <patternFill patternType="solid">
        <fgColor rgb="FFFFF7AE"/>
        <bgColor rgb="FFFFF7AE"/>
      </patternFill>
    </fill>
  </fills>
  <borders count="3">
    <border/>
    <border>
      <bottom style="thin">
        <color rgb="FFDBE4F0"/>
      </bottom>
    </border>
    <border>
      <top style="thin">
        <color rgb="FF645DF9"/>
      </top>
      <bottom style="thin">
        <color rgb="FF645DF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Font="1"/>
    <xf borderId="0" fillId="2" fontId="6" numFmtId="0" xfId="0" applyAlignment="1" applyFill="1" applyFont="1">
      <alignment horizontal="center" shrinkToFit="0" vertical="center" wrapText="1"/>
    </xf>
    <xf borderId="0" fillId="3" fontId="6" numFmtId="0" xfId="0" applyAlignment="1" applyFill="1" applyFont="1">
      <alignment horizontal="center" shrinkToFit="0" vertical="center" wrapText="1"/>
    </xf>
    <xf borderId="0" fillId="4" fontId="7" numFmtId="0" xfId="0" applyFill="1" applyFont="1"/>
    <xf borderId="0" fillId="4" fontId="2" numFmtId="0" xfId="0" applyAlignment="1" applyFont="1">
      <alignment horizontal="left" shrinkToFit="0" vertical="center" wrapText="1"/>
    </xf>
    <xf borderId="0" fillId="0" fontId="7" numFmtId="0" xfId="0" applyFont="1"/>
    <xf borderId="0" fillId="5" fontId="7" numFmtId="0" xfId="0" applyFill="1" applyFont="1"/>
    <xf borderId="0" fillId="5" fontId="2" numFmtId="0" xfId="0" applyAlignment="1" applyFont="1">
      <alignment horizontal="left" shrinkToFit="0" vertical="center" wrapText="1"/>
    </xf>
    <xf borderId="0" fillId="5" fontId="2" numFmtId="0" xfId="0" applyFont="1"/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4" fontId="2" numFmtId="0" xfId="0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1" fillId="2" fontId="8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vertical="bottom"/>
    </xf>
    <xf borderId="0" fillId="4" fontId="11" numFmtId="0" xfId="0" applyFont="1"/>
    <xf borderId="0" fillId="4" fontId="12" numFmtId="0" xfId="0" applyAlignment="1" applyFont="1">
      <alignment horizontal="left" shrinkToFit="0" vertical="center" wrapText="1"/>
    </xf>
    <xf borderId="0" fillId="4" fontId="10" numFmtId="0" xfId="0" applyAlignment="1" applyFont="1">
      <alignment horizontal="right" vertical="bottom"/>
    </xf>
    <xf borderId="0" fillId="4" fontId="2" numFmtId="164" xfId="0" applyFont="1" applyNumberFormat="1"/>
    <xf borderId="0" fillId="4" fontId="2" numFmtId="1" xfId="0" applyFont="1" applyNumberFormat="1"/>
    <xf borderId="0" fillId="4" fontId="2" numFmtId="0" xfId="0" applyAlignment="1" applyFont="1">
      <alignment horizontal="center" shrinkToFit="0" vertical="center" wrapText="1"/>
    </xf>
    <xf borderId="0" fillId="4" fontId="2" numFmtId="10" xfId="0" applyFont="1" applyNumberFormat="1"/>
    <xf borderId="0" fillId="5" fontId="10" numFmtId="0" xfId="0" applyAlignment="1" applyFont="1">
      <alignment vertical="bottom"/>
    </xf>
    <xf borderId="0" fillId="5" fontId="13" numFmtId="0" xfId="0" applyFont="1"/>
    <xf borderId="0" fillId="5" fontId="14" numFmtId="0" xfId="0" applyAlignment="1" applyFont="1">
      <alignment horizontal="left" shrinkToFit="0" vertical="center" wrapText="1"/>
    </xf>
    <xf borderId="0" fillId="5" fontId="10" numFmtId="0" xfId="0" applyAlignment="1" applyFont="1">
      <alignment horizontal="right" vertical="bottom"/>
    </xf>
    <xf borderId="0" fillId="5" fontId="15" numFmtId="0" xfId="0" applyAlignment="1" applyFont="1">
      <alignment vertical="bottom"/>
    </xf>
    <xf borderId="0" fillId="5" fontId="2" numFmtId="164" xfId="0" applyFont="1" applyNumberFormat="1"/>
    <xf borderId="0" fillId="5" fontId="2" numFmtId="1" xfId="0" applyFont="1" applyNumberFormat="1"/>
    <xf borderId="0" fillId="5" fontId="2" numFmtId="0" xfId="0" applyAlignment="1" applyFont="1">
      <alignment horizontal="center" shrinkToFit="0" vertical="center" wrapText="1"/>
    </xf>
    <xf borderId="0" fillId="5" fontId="2" numFmtId="10" xfId="0" applyFont="1" applyNumberFormat="1"/>
    <xf borderId="0" fillId="4" fontId="15" numFmtId="0" xfId="0" applyAlignment="1" applyFont="1">
      <alignment vertical="bottom"/>
    </xf>
    <xf borderId="2" fillId="5" fontId="10" numFmtId="0" xfId="0" applyAlignment="1" applyBorder="1" applyFont="1">
      <alignment vertical="bottom"/>
    </xf>
    <xf borderId="2" fillId="5" fontId="16" numFmtId="0" xfId="0" applyAlignment="1" applyBorder="1" applyFont="1">
      <alignment horizontal="left" shrinkToFit="0" vertical="center" wrapText="1"/>
    </xf>
    <xf borderId="2" fillId="5" fontId="10" numFmtId="0" xfId="0" applyAlignment="1" applyBorder="1" applyFont="1">
      <alignment horizontal="right" vertical="bottom"/>
    </xf>
    <xf borderId="2" fillId="4" fontId="10" numFmtId="0" xfId="0" applyAlignment="1" applyBorder="1" applyFont="1">
      <alignment vertical="bottom"/>
    </xf>
    <xf borderId="2" fillId="4" fontId="17" numFmtId="0" xfId="0" applyAlignment="1" applyBorder="1" applyFont="1">
      <alignment horizontal="left" shrinkToFit="0" vertical="center" wrapText="1"/>
    </xf>
    <xf borderId="2" fillId="4" fontId="10" numFmtId="0" xfId="0" applyAlignment="1" applyBorder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Sector Allocation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Sector Allocation by Weight Percent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'Sector Allocation '!$B$1</c:f>
            </c:strRef>
          </c:tx>
          <c:spPr>
            <a:solidFill>
              <a:srgbClr val="4285F4"/>
            </a:solidFill>
            <a:ln cmpd="sng">
              <a:solidFill>
                <a:srgbClr val="000000">
                  <a:alpha val="50196"/>
                </a:srgbClr>
              </a:solidFill>
            </a:ln>
          </c:spPr>
          <c:cat>
            <c:strRef>
              <c:f>'Sector Allocation '!$A$2:$A$11</c:f>
            </c:strRef>
          </c:cat>
          <c:val>
            <c:numRef>
              <c:f>'Sector Allocation '!$B$2:$B$11</c:f>
              <c:numCache/>
            </c:numRef>
          </c:val>
        </c:ser>
        <c:axId val="1021154647"/>
        <c:axId val="493640746"/>
      </c:barChart>
      <c:catAx>
        <c:axId val="10211546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93640746"/>
      </c:catAx>
      <c:valAx>
        <c:axId val="4936407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Weight_Percent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1546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9525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1" displayName="Sector_Allocation_by_Weight_Percent" name="Sector_Allocation_by_Weight_Percent" id="1">
  <tableColumns count="2">
    <tableColumn name="Sector" id="1"/>
    <tableColumn name="Weight_Percent" id="2"/>
  </tableColumns>
  <tableStyleInfo name="Sector Allocatio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creener.in/company/KINGFA/" TargetMode="External"/><Relationship Id="rId42" Type="http://schemas.openxmlformats.org/officeDocument/2006/relationships/hyperlink" Target="https://www.screener.in/company/HEROMOTOCO/consolidated/" TargetMode="External"/><Relationship Id="rId41" Type="http://schemas.openxmlformats.org/officeDocument/2006/relationships/hyperlink" Target="https://www.screener.in/company/531889/consolidated/" TargetMode="External"/><Relationship Id="rId44" Type="http://schemas.openxmlformats.org/officeDocument/2006/relationships/hyperlink" Target="https://www.screener.in/company/INDUSTOWER/consolidated/" TargetMode="External"/><Relationship Id="rId43" Type="http://schemas.openxmlformats.org/officeDocument/2006/relationships/hyperlink" Target="https://www.screener.in/company/RNFI/consolidated/" TargetMode="External"/><Relationship Id="rId46" Type="http://schemas.openxmlformats.org/officeDocument/2006/relationships/hyperlink" Target="https://www.screener.in/company/FIEMIND/consolidated/" TargetMode="External"/><Relationship Id="rId45" Type="http://schemas.openxmlformats.org/officeDocument/2006/relationships/hyperlink" Target="https://www.screener.in/company/POKARNA/consolidated/" TargetMode="External"/><Relationship Id="rId107" Type="http://schemas.openxmlformats.org/officeDocument/2006/relationships/hyperlink" Target="https://www.screener.in/company/NTPC/consolidated/" TargetMode="External"/><Relationship Id="rId106" Type="http://schemas.openxmlformats.org/officeDocument/2006/relationships/hyperlink" Target="https://www.screener.in/company/NLCINDIA/consolidated/" TargetMode="External"/><Relationship Id="rId105" Type="http://schemas.openxmlformats.org/officeDocument/2006/relationships/hyperlink" Target="https://www.screener.in/company/MMFL/consolidated/" TargetMode="External"/><Relationship Id="rId104" Type="http://schemas.openxmlformats.org/officeDocument/2006/relationships/hyperlink" Target="https://www.screener.in/company/THELEELA/consolidated/" TargetMode="External"/><Relationship Id="rId109" Type="http://schemas.openxmlformats.org/officeDocument/2006/relationships/hyperlink" Target="https://www.screener.in/company/GVPIL/consolidated/" TargetMode="External"/><Relationship Id="rId108" Type="http://schemas.openxmlformats.org/officeDocument/2006/relationships/hyperlink" Target="https://www.screener.in/company/VHLTD/consolidated/" TargetMode="External"/><Relationship Id="rId48" Type="http://schemas.openxmlformats.org/officeDocument/2006/relationships/hyperlink" Target="https://www.screener.in/company/PIXTRANS/consolidated/" TargetMode="External"/><Relationship Id="rId47" Type="http://schemas.openxmlformats.org/officeDocument/2006/relationships/hyperlink" Target="https://www.screener.in/company/GANDHITUBE/" TargetMode="External"/><Relationship Id="rId49" Type="http://schemas.openxmlformats.org/officeDocument/2006/relationships/hyperlink" Target="https://www.screener.in/company/PETRONET/consolidated/" TargetMode="External"/><Relationship Id="rId103" Type="http://schemas.openxmlformats.org/officeDocument/2006/relationships/hyperlink" Target="https://www.screener.in/company/SPORTKING/" TargetMode="External"/><Relationship Id="rId102" Type="http://schemas.openxmlformats.org/officeDocument/2006/relationships/hyperlink" Target="https://www.screener.in/company/SANDHAR/consolidated/" TargetMode="External"/><Relationship Id="rId101" Type="http://schemas.openxmlformats.org/officeDocument/2006/relationships/hyperlink" Target="https://www.screener.in/company/INDIAGLYCO/consolidated/" TargetMode="External"/><Relationship Id="rId100" Type="http://schemas.openxmlformats.org/officeDocument/2006/relationships/hyperlink" Target="https://www.screener.in/company/ATUL/consolidated/" TargetMode="External"/><Relationship Id="rId31" Type="http://schemas.openxmlformats.org/officeDocument/2006/relationships/hyperlink" Target="https://www.screener.in/company/HINDZINC/" TargetMode="External"/><Relationship Id="rId30" Type="http://schemas.openxmlformats.org/officeDocument/2006/relationships/hyperlink" Target="https://www.screener.in/screen/raw/?sort=pledged+percentag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33" Type="http://schemas.openxmlformats.org/officeDocument/2006/relationships/hyperlink" Target="https://www.screener.in/company/514330/" TargetMode="External"/><Relationship Id="rId32" Type="http://schemas.openxmlformats.org/officeDocument/2006/relationships/hyperlink" Target="https://www.screener.in/company/544657/" TargetMode="External"/><Relationship Id="rId35" Type="http://schemas.openxmlformats.org/officeDocument/2006/relationships/hyperlink" Target="https://www.screener.in/company/BORANA/" TargetMode="External"/><Relationship Id="rId34" Type="http://schemas.openxmlformats.org/officeDocument/2006/relationships/hyperlink" Target="https://www.screener.in/company/NATIONALUM/consolidated/" TargetMode="External"/><Relationship Id="rId37" Type="http://schemas.openxmlformats.org/officeDocument/2006/relationships/hyperlink" Target="https://www.screener.in/company/NATCOPHARM/consolidated/" TargetMode="External"/><Relationship Id="rId36" Type="http://schemas.openxmlformats.org/officeDocument/2006/relationships/hyperlink" Target="https://www.screener.in/company/MAMATA/consolidated/" TargetMode="External"/><Relationship Id="rId39" Type="http://schemas.openxmlformats.org/officeDocument/2006/relationships/hyperlink" Target="https://www.screener.in/company/504605/" TargetMode="External"/><Relationship Id="rId38" Type="http://schemas.openxmlformats.org/officeDocument/2006/relationships/hyperlink" Target="https://www.screener.in/company/BANCOINDIA/consolidated/" TargetMode="External"/><Relationship Id="rId20" Type="http://schemas.openxmlformats.org/officeDocument/2006/relationships/hyperlink" Target="https://www.screener.in/screen/raw/?sort=dma+50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2" Type="http://schemas.openxmlformats.org/officeDocument/2006/relationships/hyperlink" Target="https://www.screener.in/screen/raw/?sort=operating+cash+flow+5years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1" Type="http://schemas.openxmlformats.org/officeDocument/2006/relationships/hyperlink" Target="https://www.screener.in/screen/raw/?sort=dma+200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4" Type="http://schemas.openxmlformats.org/officeDocument/2006/relationships/hyperlink" Target="https://www.screener.in/screen/raw/?sort=free+cash+flow+3years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3" Type="http://schemas.openxmlformats.org/officeDocument/2006/relationships/hyperlink" Target="https://www.screener.in/screen/raw/?sort=free+cash+flow+5years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6" Type="http://schemas.openxmlformats.org/officeDocument/2006/relationships/hyperlink" Target="https://www.screener.in/screen/raw/?sort=interest+coverage+ratio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5" Type="http://schemas.openxmlformats.org/officeDocument/2006/relationships/hyperlink" Target="https://www.screener.in/screen/raw/?sort=price+to+free+cash+flow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8" Type="http://schemas.openxmlformats.org/officeDocument/2006/relationships/hyperlink" Target="https://www.screener.in/screen/raw/?sort=altman+z+scor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7" Type="http://schemas.openxmlformats.org/officeDocument/2006/relationships/hyperlink" Target="https://www.screener.in/screen/raw/?sort=quick+ratio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9" Type="http://schemas.openxmlformats.org/officeDocument/2006/relationships/hyperlink" Target="https://www.screener.in/screen/raw/?sort=promoter+holding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95" Type="http://schemas.openxmlformats.org/officeDocument/2006/relationships/hyperlink" Target="https://www.screener.in/company/ESCORTS/consolidated/" TargetMode="External"/><Relationship Id="rId94" Type="http://schemas.openxmlformats.org/officeDocument/2006/relationships/hyperlink" Target="https://www.screener.in/company/MOTHERSON/consolidated/" TargetMode="External"/><Relationship Id="rId97" Type="http://schemas.openxmlformats.org/officeDocument/2006/relationships/hyperlink" Target="https://www.screener.in/company/NITINSPIN/" TargetMode="External"/><Relationship Id="rId96" Type="http://schemas.openxmlformats.org/officeDocument/2006/relationships/hyperlink" Target="https://www.screener.in/company/GICRE/consolidated/" TargetMode="External"/><Relationship Id="rId11" Type="http://schemas.openxmlformats.org/officeDocument/2006/relationships/hyperlink" Target="https://www.screener.in/screen/raw/?sort=return+on+equity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99" Type="http://schemas.openxmlformats.org/officeDocument/2006/relationships/hyperlink" Target="https://www.screener.in/company/SKMEGGPROD/consolidated/" TargetMode="External"/><Relationship Id="rId10" Type="http://schemas.openxmlformats.org/officeDocument/2006/relationships/hyperlink" Target="https://www.screener.in/screen/raw/?sort=return+on+capital+employed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98" Type="http://schemas.openxmlformats.org/officeDocument/2006/relationships/hyperlink" Target="https://www.screener.in/company/KRT/" TargetMode="External"/><Relationship Id="rId13" Type="http://schemas.openxmlformats.org/officeDocument/2006/relationships/hyperlink" Target="https://www.screener.in/screen/raw/?sort=g+factor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12" Type="http://schemas.openxmlformats.org/officeDocument/2006/relationships/hyperlink" Target="https://www.screener.in/screen/raw/?sort=return+on+assets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91" Type="http://schemas.openxmlformats.org/officeDocument/2006/relationships/hyperlink" Target="https://www.screener.in/company/GMDCLTD/consolidated/" TargetMode="External"/><Relationship Id="rId90" Type="http://schemas.openxmlformats.org/officeDocument/2006/relationships/hyperlink" Target="https://www.screener.in/company/BELRISE/consolidated/" TargetMode="External"/><Relationship Id="rId93" Type="http://schemas.openxmlformats.org/officeDocument/2006/relationships/hyperlink" Target="https://www.screener.in/company/GESHIP/consolidated/" TargetMode="External"/><Relationship Id="rId92" Type="http://schemas.openxmlformats.org/officeDocument/2006/relationships/hyperlink" Target="https://www.screener.in/company/VAIBHAVGBL/consolidated/" TargetMode="External"/><Relationship Id="rId15" Type="http://schemas.openxmlformats.org/officeDocument/2006/relationships/hyperlink" Target="https://www.screener.in/screen/raw/?sort=piotroski+scor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110" Type="http://schemas.openxmlformats.org/officeDocument/2006/relationships/drawing" Target="../drawings/drawing5.xml"/><Relationship Id="rId14" Type="http://schemas.openxmlformats.org/officeDocument/2006/relationships/hyperlink" Target="https://www.screener.in/screen/raw/?sort=earnings+yield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17" Type="http://schemas.openxmlformats.org/officeDocument/2006/relationships/hyperlink" Target="https://www.screener.in/screen/raw/?sort=volum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16" Type="http://schemas.openxmlformats.org/officeDocument/2006/relationships/hyperlink" Target="https://www.screener.in/screen/raw/?sort=debt+to+equity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19" Type="http://schemas.openxmlformats.org/officeDocument/2006/relationships/hyperlink" Target="https://www.screener.in/screen/raw/?sort=return+over+6months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18" Type="http://schemas.openxmlformats.org/officeDocument/2006/relationships/hyperlink" Target="https://www.screener.in/screen/raw/?sort=volume+1year+averag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84" Type="http://schemas.openxmlformats.org/officeDocument/2006/relationships/hyperlink" Target="https://www.screener.in/company/GRANULES/consolidated/" TargetMode="External"/><Relationship Id="rId83" Type="http://schemas.openxmlformats.org/officeDocument/2006/relationships/hyperlink" Target="https://www.screener.in/company/SIGNPOST/" TargetMode="External"/><Relationship Id="rId86" Type="http://schemas.openxmlformats.org/officeDocument/2006/relationships/hyperlink" Target="https://www.screener.in/company/HINDALCO/consolidated/" TargetMode="External"/><Relationship Id="rId85" Type="http://schemas.openxmlformats.org/officeDocument/2006/relationships/hyperlink" Target="https://www.screener.in/company/ARTEMISMED/" TargetMode="External"/><Relationship Id="rId88" Type="http://schemas.openxmlformats.org/officeDocument/2006/relationships/hyperlink" Target="https://www.screener.in/company/CIEINDIA/consolidated/" TargetMode="External"/><Relationship Id="rId87" Type="http://schemas.openxmlformats.org/officeDocument/2006/relationships/hyperlink" Target="https://www.screener.in/company/NAVNETEDUL/consolidated/" TargetMode="External"/><Relationship Id="rId89" Type="http://schemas.openxmlformats.org/officeDocument/2006/relationships/hyperlink" Target="https://www.screener.in/company/WELSPUNLIV/consolidated/" TargetMode="External"/><Relationship Id="rId80" Type="http://schemas.openxmlformats.org/officeDocument/2006/relationships/hyperlink" Target="https://www.screener.in/company/BHARATSE/" TargetMode="External"/><Relationship Id="rId82" Type="http://schemas.openxmlformats.org/officeDocument/2006/relationships/hyperlink" Target="https://www.screener.in/company/INDNIPPON/consolidated/" TargetMode="External"/><Relationship Id="rId81" Type="http://schemas.openxmlformats.org/officeDocument/2006/relationships/hyperlink" Target="https://www.screener.in/company/TEJASCARGO/" TargetMode="External"/><Relationship Id="rId1" Type="http://schemas.openxmlformats.org/officeDocument/2006/relationships/hyperlink" Target="https://www.screener.in/screen/raw/?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2" Type="http://schemas.openxmlformats.org/officeDocument/2006/relationships/hyperlink" Target="https://www.screener.in/screen/raw/?sort=nam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3" Type="http://schemas.openxmlformats.org/officeDocument/2006/relationships/hyperlink" Target="https://www.screener.in/screen/raw/?sort=current+pric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4" Type="http://schemas.openxmlformats.org/officeDocument/2006/relationships/hyperlink" Target="https://www.screener.in/screen/raw/?sort=market+capitalization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9" Type="http://schemas.openxmlformats.org/officeDocument/2006/relationships/hyperlink" Target="https://www.screener.in/screen/raw/?sort=evebitda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5" Type="http://schemas.openxmlformats.org/officeDocument/2006/relationships/hyperlink" Target="https://www.screener.in/screen/raw/?sort=price+to+earning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6" Type="http://schemas.openxmlformats.org/officeDocument/2006/relationships/hyperlink" Target="https://www.screener.in/screen/raw/?sort=industry+p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7" Type="http://schemas.openxmlformats.org/officeDocument/2006/relationships/hyperlink" Target="https://www.screener.in/screen/raw/?sort=price+to+book+value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8" Type="http://schemas.openxmlformats.org/officeDocument/2006/relationships/hyperlink" Target="https://www.screener.in/screen/raw/?sort=industry+pbv&amp;order=&amp;source_id=&amp;query=Market+Capitalization+%3E+500%0D%0AAND+Current+price+%3E+20%0D%0A%0D%0AAND+%28%0D%0A++%28Price+to+Earning+%3E+0+AND+Price+to+Earning+%3C+25%29%0D%0A++OR+%28EVEBITDA+%3E+0+AND+EVEBITDA+%3C+16%29%0D%0A++OR+%28Price+to+Free+Cash+Flow+%3E+0+AND+Price+to+Free+Cash+Flow+%3C+20%29%0D%0A++OR+%28Price+to+book+value+%3E+0+AND+Price+to+book+value+%3C+4.5%29%0D%0A%29%0D%0A%0D%0AAND+%28Return+on+capital+employed+%3E+12+OR+Return+on+equity+%3E+12%29%0D%0AAND+Piotroski+score+%3E+5%0D%0A%0D%0AAND+%28Operating+cash+flow+3years+%3E+0+OR+Free+cash+flow+3years+%3E+0%29%0D%0A%0D%0AAND+Debt+to+equity+%3C+1.5%0D%0AAND+%28Interest+Coverage+Ratio+%3E+2+OR+Debt+to+equity+%3C+0.5%29%0D%0A%0D%0AAND+Pledged+percentage+%3C+10%0D%0AAND+%28%28Promoter+holding+%3E+50+AND+Market+Capitalization+%3C+5000%29+OR+%28Promoter+holding+%3E+30+AND+Market+Capitalization+%3E+5000%29%29%0D%0A%0D%0AAND+%28Current+price+%3E+DMA+200+OR+DMA+50+%3E+DMA+200+OR+Return+over+6months+%3E+0%29%0D%0AAND+Down+from+52w+high+%3C+50&amp;sectors=IN020102-IN060101-IN070205-IN020301-IN110101-IN020201-IN010302-IN090102-IN040104-IN080101-IN010101-IN020601-IN010102-IN050104-IN050101-IN070203-IN060103-IN030101-IN020401-IN070204-IN020501-IN100101-IN020403-IN040102-IN020101-IN010304-IN070202-IN070101-IN090103&amp;limit=50" TargetMode="External"/><Relationship Id="rId73" Type="http://schemas.openxmlformats.org/officeDocument/2006/relationships/hyperlink" Target="https://www.screener.in/company/BALKRISIND/consolidated/" TargetMode="External"/><Relationship Id="rId72" Type="http://schemas.openxmlformats.org/officeDocument/2006/relationships/hyperlink" Target="https://www.screener.in/company/INFOBEAN/consolidated/" TargetMode="External"/><Relationship Id="rId75" Type="http://schemas.openxmlformats.org/officeDocument/2006/relationships/hyperlink" Target="https://www.screener.in/company/LUMAXIND/consolidated/" TargetMode="External"/><Relationship Id="rId74" Type="http://schemas.openxmlformats.org/officeDocument/2006/relationships/hyperlink" Target="https://www.screener.in/company/SHARDACROP/consolidated/" TargetMode="External"/><Relationship Id="rId77" Type="http://schemas.openxmlformats.org/officeDocument/2006/relationships/hyperlink" Target="https://www.screener.in/company/WHEELS/" TargetMode="External"/><Relationship Id="rId76" Type="http://schemas.openxmlformats.org/officeDocument/2006/relationships/hyperlink" Target="https://www.screener.in/company/AKUMS/consolidated/" TargetMode="External"/><Relationship Id="rId79" Type="http://schemas.openxmlformats.org/officeDocument/2006/relationships/hyperlink" Target="https://www.screener.in/company/VRLLOG/" TargetMode="External"/><Relationship Id="rId78" Type="http://schemas.openxmlformats.org/officeDocument/2006/relationships/hyperlink" Target="https://www.screener.in/company/TORNTPOWER/consolidated/" TargetMode="External"/><Relationship Id="rId71" Type="http://schemas.openxmlformats.org/officeDocument/2006/relationships/hyperlink" Target="https://www.screener.in/company/SBILIFE/" TargetMode="External"/><Relationship Id="rId70" Type="http://schemas.openxmlformats.org/officeDocument/2006/relationships/hyperlink" Target="https://www.screener.in/company/NOVARTIND/" TargetMode="External"/><Relationship Id="rId62" Type="http://schemas.openxmlformats.org/officeDocument/2006/relationships/hyperlink" Target="https://www.screener.in/company/GRWRHITECH/consolidated/" TargetMode="External"/><Relationship Id="rId61" Type="http://schemas.openxmlformats.org/officeDocument/2006/relationships/hyperlink" Target="https://www.screener.in/company/513532/consolidated/" TargetMode="External"/><Relationship Id="rId64" Type="http://schemas.openxmlformats.org/officeDocument/2006/relationships/hyperlink" Target="https://www.screener.in/company/GALLANTT/consolidated/" TargetMode="External"/><Relationship Id="rId63" Type="http://schemas.openxmlformats.org/officeDocument/2006/relationships/hyperlink" Target="https://www.screener.in/company/RAMRAT/consolidated/" TargetMode="External"/><Relationship Id="rId66" Type="http://schemas.openxmlformats.org/officeDocument/2006/relationships/hyperlink" Target="https://www.screener.in/company/539997/consolidated/" TargetMode="External"/><Relationship Id="rId65" Type="http://schemas.openxmlformats.org/officeDocument/2006/relationships/hyperlink" Target="https://www.screener.in/company/TECHM/consolidated/" TargetMode="External"/><Relationship Id="rId68" Type="http://schemas.openxmlformats.org/officeDocument/2006/relationships/hyperlink" Target="https://www.screener.in/company/VISHNU/consolidated/" TargetMode="External"/><Relationship Id="rId67" Type="http://schemas.openxmlformats.org/officeDocument/2006/relationships/hyperlink" Target="https://www.screener.in/company/CANTABIL/" TargetMode="External"/><Relationship Id="rId60" Type="http://schemas.openxmlformats.org/officeDocument/2006/relationships/hyperlink" Target="https://www.screener.in/company/MAYURUNIQ/" TargetMode="External"/><Relationship Id="rId69" Type="http://schemas.openxmlformats.org/officeDocument/2006/relationships/hyperlink" Target="https://www.screener.in/company/NAVA/consolidated/" TargetMode="External"/><Relationship Id="rId51" Type="http://schemas.openxmlformats.org/officeDocument/2006/relationships/hyperlink" Target="https://www.screener.in/company/GPPL/" TargetMode="External"/><Relationship Id="rId50" Type="http://schemas.openxmlformats.org/officeDocument/2006/relationships/hyperlink" Target="https://www.screener.in/company/ENGINERSIN/consolidated/" TargetMode="External"/><Relationship Id="rId53" Type="http://schemas.openxmlformats.org/officeDocument/2006/relationships/hyperlink" Target="https://www.screener.in/company/506414/consolidated/" TargetMode="External"/><Relationship Id="rId52" Type="http://schemas.openxmlformats.org/officeDocument/2006/relationships/hyperlink" Target="https://www.screener.in/company/SHRIAHIMSA/" TargetMode="External"/><Relationship Id="rId55" Type="http://schemas.openxmlformats.org/officeDocument/2006/relationships/hyperlink" Target="https://www.screener.in/company/AUTOAXLES/" TargetMode="External"/><Relationship Id="rId54" Type="http://schemas.openxmlformats.org/officeDocument/2006/relationships/hyperlink" Target="https://www.screener.in/company/ADANIPOWER/consolidated/" TargetMode="External"/><Relationship Id="rId57" Type="http://schemas.openxmlformats.org/officeDocument/2006/relationships/hyperlink" Target="https://www.screener.in/company/KRISHANA/" TargetMode="External"/><Relationship Id="rId56" Type="http://schemas.openxmlformats.org/officeDocument/2006/relationships/hyperlink" Target="https://www.screener.in/company/CARRARO/" TargetMode="External"/><Relationship Id="rId59" Type="http://schemas.openxmlformats.org/officeDocument/2006/relationships/hyperlink" Target="https://www.screener.in/company/EMCURE/consolidated/" TargetMode="External"/><Relationship Id="rId58" Type="http://schemas.openxmlformats.org/officeDocument/2006/relationships/hyperlink" Target="https://www.screener.in/company/LUPIN/consolidated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4.0"/>
    <col customWidth="1" min="2" max="2" width="95.0"/>
    <col customWidth="1" min="3" max="26" width="8.63"/>
  </cols>
  <sheetData>
    <row r="1">
      <c r="A1" s="1" t="s">
        <v>0</v>
      </c>
    </row>
    <row r="2">
      <c r="A2" s="2"/>
      <c r="B2" s="2"/>
    </row>
    <row r="3" ht="288.0" customHeight="1">
      <c r="A3" s="3" t="s">
        <v>1</v>
      </c>
      <c r="B3" s="4" t="s">
        <v>2</v>
      </c>
    </row>
    <row r="4">
      <c r="A4" s="2"/>
      <c r="B4" s="2"/>
    </row>
    <row r="5" ht="572.25" customHeight="1">
      <c r="A5" s="3" t="s">
        <v>3</v>
      </c>
      <c r="B5" s="5" t="s">
        <v>4</v>
      </c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3" t="s">
        <v>5</v>
      </c>
      <c r="B46" s="6" t="s">
        <v>6</v>
      </c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51.38"/>
    <col customWidth="1" min="3" max="3" width="13.5"/>
    <col customWidth="1" min="4" max="4" width="11.13"/>
    <col customWidth="1" min="5" max="5" width="15.25"/>
    <col customWidth="1" min="6" max="22" width="14.0"/>
    <col customWidth="1" min="23" max="26" width="8.63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24</v>
      </c>
      <c r="S1" s="7" t="s">
        <v>25</v>
      </c>
      <c r="T1" s="7" t="s">
        <v>26</v>
      </c>
      <c r="U1" s="7" t="s">
        <v>27</v>
      </c>
      <c r="V1" s="7" t="s">
        <v>28</v>
      </c>
      <c r="W1" s="8" t="s">
        <v>29</v>
      </c>
      <c r="X1" s="8" t="s">
        <v>30</v>
      </c>
      <c r="Y1" s="8" t="s">
        <v>31</v>
      </c>
    </row>
    <row r="2">
      <c r="A2" s="9">
        <v>1.0</v>
      </c>
      <c r="B2" s="9" t="s">
        <v>32</v>
      </c>
      <c r="C2" s="9" t="s">
        <v>33</v>
      </c>
      <c r="D2" s="10" t="s">
        <v>34</v>
      </c>
      <c r="E2" s="10" t="s">
        <v>35</v>
      </c>
      <c r="F2" s="9">
        <v>17127.38</v>
      </c>
      <c r="G2" s="9">
        <v>956.25</v>
      </c>
      <c r="H2" s="9">
        <v>0.7873025109779949</v>
      </c>
      <c r="I2" s="9">
        <v>0.905099805258033</v>
      </c>
      <c r="J2" s="9">
        <v>0.7708860759493671</v>
      </c>
      <c r="K2" s="9">
        <v>0.5999167221852099</v>
      </c>
      <c r="L2" s="9">
        <v>0.7345516134783385</v>
      </c>
      <c r="M2" s="9">
        <v>0.782051282051282</v>
      </c>
      <c r="N2" s="9" t="s">
        <v>36</v>
      </c>
      <c r="O2" s="9">
        <v>11.0</v>
      </c>
      <c r="P2" s="9">
        <v>1.98</v>
      </c>
      <c r="Q2" s="9">
        <v>6.86</v>
      </c>
      <c r="R2" s="9">
        <v>12.85</v>
      </c>
      <c r="S2" s="9">
        <v>0.03</v>
      </c>
      <c r="T2" s="9">
        <v>52.46</v>
      </c>
      <c r="U2" s="9">
        <v>5.43</v>
      </c>
      <c r="V2" s="9">
        <v>0.0</v>
      </c>
      <c r="W2" s="11">
        <v>49.48</v>
      </c>
      <c r="X2" s="11">
        <v>11.77</v>
      </c>
      <c r="Y2" s="11">
        <v>0.04</v>
      </c>
    </row>
    <row r="3">
      <c r="A3" s="12">
        <v>2.0</v>
      </c>
      <c r="B3" s="12" t="s">
        <v>37</v>
      </c>
      <c r="C3" s="12" t="s">
        <v>38</v>
      </c>
      <c r="D3" s="13" t="s">
        <v>39</v>
      </c>
      <c r="E3" s="13" t="s">
        <v>40</v>
      </c>
      <c r="F3" s="12">
        <v>66642.18</v>
      </c>
      <c r="G3" s="12">
        <v>362.85</v>
      </c>
      <c r="H3" s="12">
        <v>0.7863707352785528</v>
      </c>
      <c r="I3" s="12">
        <v>0.7500741347260336</v>
      </c>
      <c r="J3" s="12">
        <v>0.9221518987341772</v>
      </c>
      <c r="K3" s="12">
        <v>0.7464190539640241</v>
      </c>
      <c r="L3" s="12">
        <v>0.5748083437332858</v>
      </c>
      <c r="M3" s="12">
        <v>0.9807692307692308</v>
      </c>
      <c r="N3" s="12" t="s">
        <v>36</v>
      </c>
      <c r="O3" s="12">
        <v>10.85</v>
      </c>
      <c r="P3" s="12">
        <v>3.36</v>
      </c>
      <c r="Q3" s="12">
        <v>6.63</v>
      </c>
      <c r="R3" s="12">
        <v>14.02</v>
      </c>
      <c r="S3" s="12">
        <v>0.0</v>
      </c>
      <c r="T3" s="12">
        <v>76.71</v>
      </c>
      <c r="U3" s="12">
        <v>7.54</v>
      </c>
      <c r="V3" s="12">
        <v>0.0</v>
      </c>
      <c r="W3" s="11">
        <v>51.28</v>
      </c>
      <c r="X3" s="11">
        <v>75.57</v>
      </c>
      <c r="Y3" s="11">
        <v>0.04</v>
      </c>
    </row>
    <row r="4">
      <c r="A4" s="9">
        <v>3.0</v>
      </c>
      <c r="B4" s="9" t="s">
        <v>41</v>
      </c>
      <c r="C4" s="9" t="s">
        <v>42</v>
      </c>
      <c r="D4" s="10" t="s">
        <v>43</v>
      </c>
      <c r="E4" s="10" t="s">
        <v>44</v>
      </c>
      <c r="F4" s="9">
        <v>46297.5</v>
      </c>
      <c r="G4" s="9">
        <v>308.65</v>
      </c>
      <c r="H4" s="9">
        <v>0.7490359653639532</v>
      </c>
      <c r="I4" s="9">
        <v>0.8557869345844029</v>
      </c>
      <c r="J4" s="9">
        <v>0.6525316455696203</v>
      </c>
      <c r="K4" s="9">
        <v>0.5751915389740173</v>
      </c>
      <c r="L4" s="9">
        <v>0.8880638259939383</v>
      </c>
      <c r="M4" s="9">
        <v>0.7948717948717949</v>
      </c>
      <c r="N4" s="9" t="s">
        <v>36</v>
      </c>
      <c r="O4" s="9">
        <v>12.73</v>
      </c>
      <c r="P4" s="9">
        <v>2.19</v>
      </c>
      <c r="Q4" s="9">
        <v>6.4</v>
      </c>
      <c r="R4" s="9">
        <v>13.38</v>
      </c>
      <c r="S4" s="9">
        <v>0.12</v>
      </c>
      <c r="T4" s="9">
        <v>21.16</v>
      </c>
      <c r="U4" s="9">
        <v>6.41</v>
      </c>
      <c r="V4" s="9">
        <v>0.0</v>
      </c>
      <c r="W4" s="11">
        <v>50.0</v>
      </c>
      <c r="X4" s="11">
        <v>12.48</v>
      </c>
      <c r="Y4" s="11">
        <v>0.04</v>
      </c>
    </row>
    <row r="5">
      <c r="A5" s="12">
        <v>4.0</v>
      </c>
      <c r="B5" s="12" t="s">
        <v>45</v>
      </c>
      <c r="C5" s="12" t="s">
        <v>46</v>
      </c>
      <c r="D5" s="13" t="s">
        <v>47</v>
      </c>
      <c r="E5" s="13" t="s">
        <v>48</v>
      </c>
      <c r="F5" s="12">
        <v>2308.2</v>
      </c>
      <c r="G5" s="12">
        <v>531.2</v>
      </c>
      <c r="H5" s="12">
        <v>0.7373736725939014</v>
      </c>
      <c r="I5" s="12">
        <v>0.7997764893334514</v>
      </c>
      <c r="J5" s="12">
        <v>0.7246835443037974</v>
      </c>
      <c r="K5" s="12">
        <v>0.736892071952032</v>
      </c>
      <c r="L5" s="12">
        <v>0.5782403280442145</v>
      </c>
      <c r="M5" s="12">
        <v>0.6217948717948718</v>
      </c>
      <c r="N5" s="12" t="s">
        <v>36</v>
      </c>
      <c r="O5" s="12">
        <v>13.02</v>
      </c>
      <c r="P5" s="12">
        <v>2.28</v>
      </c>
      <c r="Q5" s="12">
        <v>8.34</v>
      </c>
      <c r="R5" s="12">
        <v>10.69</v>
      </c>
      <c r="S5" s="12">
        <v>0.01</v>
      </c>
      <c r="T5" s="12">
        <v>199.9</v>
      </c>
      <c r="U5" s="12">
        <v>6.68</v>
      </c>
      <c r="V5" s="12">
        <v>0.0</v>
      </c>
      <c r="W5" s="11">
        <v>58.59</v>
      </c>
      <c r="X5" s="11">
        <v>-1.49</v>
      </c>
      <c r="Y5" s="11">
        <v>0.04</v>
      </c>
    </row>
    <row r="6">
      <c r="A6" s="9">
        <v>5.0</v>
      </c>
      <c r="B6" s="9" t="s">
        <v>49</v>
      </c>
      <c r="C6" s="9" t="s">
        <v>50</v>
      </c>
      <c r="D6" s="10" t="s">
        <v>51</v>
      </c>
      <c r="E6" s="10" t="s">
        <v>52</v>
      </c>
      <c r="F6" s="9">
        <v>18936.64</v>
      </c>
      <c r="G6" s="9">
        <v>1326.4</v>
      </c>
      <c r="H6" s="9">
        <v>0.7296026032657481</v>
      </c>
      <c r="I6" s="9">
        <v>0.9414136496414977</v>
      </c>
      <c r="J6" s="9">
        <v>0.470253164556962</v>
      </c>
      <c r="K6" s="9">
        <v>0.4599600266489008</v>
      </c>
      <c r="L6" s="9">
        <v>0.970074879657693</v>
      </c>
      <c r="M6" s="9">
        <v>0.9294871794871795</v>
      </c>
      <c r="N6" s="9" t="s">
        <v>53</v>
      </c>
      <c r="O6" s="9">
        <v>8.37</v>
      </c>
      <c r="P6" s="9">
        <v>1.24</v>
      </c>
      <c r="Q6" s="9">
        <v>4.32</v>
      </c>
      <c r="R6" s="9">
        <v>17.24</v>
      </c>
      <c r="S6" s="9">
        <v>0.08</v>
      </c>
      <c r="T6" s="9">
        <v>15.5</v>
      </c>
      <c r="U6" s="9">
        <v>4.22</v>
      </c>
      <c r="V6" s="9">
        <v>0.0</v>
      </c>
      <c r="W6" s="11">
        <v>30.07</v>
      </c>
      <c r="X6" s="11">
        <v>36.6</v>
      </c>
      <c r="Y6" s="11">
        <v>0.04</v>
      </c>
    </row>
    <row r="7">
      <c r="A7" s="12">
        <v>6.0</v>
      </c>
      <c r="B7" s="12" t="s">
        <v>54</v>
      </c>
      <c r="C7" s="12" t="s">
        <v>55</v>
      </c>
      <c r="D7" s="13" t="s">
        <v>56</v>
      </c>
      <c r="E7" s="13" t="s">
        <v>57</v>
      </c>
      <c r="F7" s="12">
        <v>8324.35</v>
      </c>
      <c r="G7" s="12">
        <v>172.19</v>
      </c>
      <c r="H7" s="12">
        <v>0.7192667199071614</v>
      </c>
      <c r="I7" s="12">
        <v>0.6525482428963442</v>
      </c>
      <c r="J7" s="12">
        <v>0.7873417721518987</v>
      </c>
      <c r="K7" s="12">
        <v>0.7078864090606263</v>
      </c>
      <c r="L7" s="12">
        <v>0.7880905687288287</v>
      </c>
      <c r="M7" s="12">
        <v>0.8205128205128205</v>
      </c>
      <c r="N7" s="12" t="s">
        <v>36</v>
      </c>
      <c r="O7" s="12">
        <v>18.89</v>
      </c>
      <c r="P7" s="12">
        <v>3.83</v>
      </c>
      <c r="Q7" s="12">
        <v>10.23</v>
      </c>
      <c r="R7" s="12">
        <v>8.1</v>
      </c>
      <c r="S7" s="12">
        <v>0.02</v>
      </c>
      <c r="T7" s="12">
        <v>81.83</v>
      </c>
      <c r="U7" s="12">
        <v>7.56</v>
      </c>
      <c r="V7" s="12">
        <v>0.0</v>
      </c>
      <c r="W7" s="11">
        <v>44.01</v>
      </c>
      <c r="X7" s="11">
        <v>14.37</v>
      </c>
      <c r="Y7" s="11">
        <v>0.04</v>
      </c>
    </row>
    <row r="8">
      <c r="A8" s="9">
        <v>7.0</v>
      </c>
      <c r="B8" s="9" t="s">
        <v>58</v>
      </c>
      <c r="C8" s="9" t="s">
        <v>59</v>
      </c>
      <c r="D8" s="10" t="s">
        <v>60</v>
      </c>
      <c r="E8" s="10" t="s">
        <v>61</v>
      </c>
      <c r="F8" s="9">
        <v>118334.79</v>
      </c>
      <c r="G8" s="9">
        <v>448.55</v>
      </c>
      <c r="H8" s="9">
        <v>0.6727185990280311</v>
      </c>
      <c r="I8" s="9">
        <v>0.722185093387625</v>
      </c>
      <c r="J8" s="9">
        <v>0.7449367088607595</v>
      </c>
      <c r="K8" s="9">
        <v>0.311275816122585</v>
      </c>
      <c r="L8" s="9">
        <v>0.8856034943840255</v>
      </c>
      <c r="M8" s="9">
        <v>0.9358974358974359</v>
      </c>
      <c r="N8" s="9" t="s">
        <v>36</v>
      </c>
      <c r="O8" s="9">
        <v>16.59</v>
      </c>
      <c r="P8" s="9">
        <v>3.28</v>
      </c>
      <c r="Q8" s="9">
        <v>7.55</v>
      </c>
      <c r="R8" s="9">
        <v>8.16</v>
      </c>
      <c r="S8" s="9">
        <v>0.58</v>
      </c>
      <c r="T8" s="9">
        <v>6.82</v>
      </c>
      <c r="U8" s="9">
        <v>4.68</v>
      </c>
      <c r="V8" s="9">
        <v>0.0</v>
      </c>
      <c r="W8" s="11">
        <v>51.03</v>
      </c>
      <c r="X8" s="11">
        <v>38.42</v>
      </c>
      <c r="Y8" s="11">
        <v>0.04</v>
      </c>
    </row>
    <row r="9">
      <c r="A9" s="12">
        <v>8.0</v>
      </c>
      <c r="B9" s="12" t="s">
        <v>62</v>
      </c>
      <c r="C9" s="12" t="s">
        <v>63</v>
      </c>
      <c r="D9" s="13" t="s">
        <v>64</v>
      </c>
      <c r="E9" s="13" t="s">
        <v>65</v>
      </c>
      <c r="F9" s="12">
        <v>16322.1</v>
      </c>
      <c r="G9" s="12">
        <v>576.75</v>
      </c>
      <c r="H9" s="12">
        <v>0.6424205046422864</v>
      </c>
      <c r="I9" s="12">
        <v>0.7894208639461805</v>
      </c>
      <c r="J9" s="12">
        <v>0.5088607594936709</v>
      </c>
      <c r="K9" s="12">
        <v>0.5045386409060627</v>
      </c>
      <c r="L9" s="12">
        <v>0.9288821536815831</v>
      </c>
      <c r="M9" s="12">
        <v>0.5128205128205128</v>
      </c>
      <c r="N9" s="12" t="s">
        <v>53</v>
      </c>
      <c r="O9" s="12">
        <v>18.24</v>
      </c>
      <c r="P9" s="12">
        <v>2.01</v>
      </c>
      <c r="Q9" s="12">
        <v>8.49</v>
      </c>
      <c r="R9" s="12">
        <v>9.36</v>
      </c>
      <c r="S9" s="12">
        <v>0.2</v>
      </c>
      <c r="T9" s="12">
        <v>157.35</v>
      </c>
      <c r="U9" s="12">
        <v>4.11</v>
      </c>
      <c r="V9" s="12">
        <v>0.0</v>
      </c>
      <c r="W9" s="11">
        <v>50.1</v>
      </c>
      <c r="X9" s="11">
        <v>-15.38</v>
      </c>
      <c r="Y9" s="11">
        <v>0.04</v>
      </c>
    </row>
    <row r="10">
      <c r="A10" s="9">
        <v>9.0</v>
      </c>
      <c r="B10" s="9" t="s">
        <v>66</v>
      </c>
      <c r="C10" s="9" t="s">
        <v>67</v>
      </c>
      <c r="D10" s="10" t="s">
        <v>68</v>
      </c>
      <c r="E10" s="10" t="s">
        <v>69</v>
      </c>
      <c r="F10" s="9">
        <v>942.07</v>
      </c>
      <c r="G10" s="9">
        <v>40.46</v>
      </c>
      <c r="H10" s="9">
        <v>0.6406473600304674</v>
      </c>
      <c r="I10" s="9">
        <v>0.7688441491494358</v>
      </c>
      <c r="J10" s="9">
        <v>0.6034810126582278</v>
      </c>
      <c r="K10" s="9">
        <v>0.6248251165889408</v>
      </c>
      <c r="L10" s="9">
        <v>0.0759493670886076</v>
      </c>
      <c r="M10" s="9">
        <v>0.9935897435897436</v>
      </c>
      <c r="N10" s="9" t="s">
        <v>53</v>
      </c>
      <c r="O10" s="9">
        <v>10.89</v>
      </c>
      <c r="P10" s="9">
        <v>3.08</v>
      </c>
      <c r="Q10" s="9">
        <v>8.18</v>
      </c>
      <c r="R10" s="9">
        <v>11.91</v>
      </c>
      <c r="S10" s="9">
        <v>0.04</v>
      </c>
      <c r="T10" s="9">
        <v>69.85</v>
      </c>
      <c r="U10" s="9">
        <v>6.59</v>
      </c>
      <c r="V10" s="9">
        <v>0.0</v>
      </c>
      <c r="W10" s="11">
        <v>53.81</v>
      </c>
      <c r="X10" s="11">
        <v>121.46</v>
      </c>
      <c r="Y10" s="11">
        <v>0.04</v>
      </c>
    </row>
    <row r="11">
      <c r="A11" s="12">
        <v>10.0</v>
      </c>
      <c r="B11" s="12" t="s">
        <v>70</v>
      </c>
      <c r="C11" s="12" t="s">
        <v>67</v>
      </c>
      <c r="D11" s="13" t="s">
        <v>71</v>
      </c>
      <c r="E11" s="13" t="s">
        <v>72</v>
      </c>
      <c r="F11" s="12">
        <v>1410.5</v>
      </c>
      <c r="G11" s="12">
        <v>111.0</v>
      </c>
      <c r="H11" s="12">
        <v>0.6292902879744046</v>
      </c>
      <c r="I11" s="12">
        <v>0.8704335221740285</v>
      </c>
      <c r="J11" s="12">
        <v>0.350632911392405</v>
      </c>
      <c r="K11" s="12">
        <v>0.3766655562958028</v>
      </c>
      <c r="L11" s="12">
        <v>0.8543323230522375</v>
      </c>
      <c r="M11" s="12">
        <v>0.6538461538461539</v>
      </c>
      <c r="N11" s="12" t="s">
        <v>53</v>
      </c>
      <c r="O11" s="12">
        <v>11.46</v>
      </c>
      <c r="P11" s="12">
        <v>1.34</v>
      </c>
      <c r="Q11" s="12">
        <v>6.23</v>
      </c>
      <c r="R11" s="12">
        <v>11.11</v>
      </c>
      <c r="S11" s="12">
        <v>0.48</v>
      </c>
      <c r="T11" s="12">
        <v>4.79</v>
      </c>
      <c r="U11" s="12">
        <v>4.27</v>
      </c>
      <c r="V11" s="12">
        <v>0.0</v>
      </c>
      <c r="W11" s="11">
        <v>74.36</v>
      </c>
      <c r="X11" s="11">
        <v>0.33</v>
      </c>
      <c r="Y11" s="11">
        <v>0.04</v>
      </c>
    </row>
    <row r="12">
      <c r="A12" s="9">
        <v>11.0</v>
      </c>
      <c r="B12" s="9" t="s">
        <v>73</v>
      </c>
      <c r="C12" s="9" t="s">
        <v>46</v>
      </c>
      <c r="D12" s="10" t="s">
        <v>74</v>
      </c>
      <c r="E12" s="10" t="s">
        <v>75</v>
      </c>
      <c r="F12" s="9">
        <v>111880.2</v>
      </c>
      <c r="G12" s="9">
        <v>5591.5</v>
      </c>
      <c r="H12" s="9">
        <v>0.6199659685492839</v>
      </c>
      <c r="I12" s="9">
        <v>0.4668971850933877</v>
      </c>
      <c r="J12" s="9">
        <v>0.8272151898734177</v>
      </c>
      <c r="K12" s="9">
        <v>0.7074033977348435</v>
      </c>
      <c r="L12" s="9">
        <v>0.4934569441968265</v>
      </c>
      <c r="M12" s="9">
        <v>0.7115384615384616</v>
      </c>
      <c r="N12" s="9" t="s">
        <v>36</v>
      </c>
      <c r="O12" s="9">
        <v>20.22</v>
      </c>
      <c r="P12" s="9">
        <v>5.33</v>
      </c>
      <c r="Q12" s="9">
        <v>13.7</v>
      </c>
      <c r="R12" s="9">
        <v>6.55</v>
      </c>
      <c r="S12" s="9">
        <v>0.03</v>
      </c>
      <c r="T12" s="9">
        <v>96.17</v>
      </c>
      <c r="U12" s="9">
        <v>8.8</v>
      </c>
      <c r="V12" s="9">
        <v>0.0</v>
      </c>
      <c r="W12" s="11">
        <v>34.73</v>
      </c>
      <c r="X12" s="11">
        <v>4.49</v>
      </c>
      <c r="Y12" s="11">
        <v>0.04</v>
      </c>
    </row>
    <row r="13">
      <c r="A13" s="12">
        <v>12.0</v>
      </c>
      <c r="B13" s="12" t="s">
        <v>76</v>
      </c>
      <c r="C13" s="12" t="s">
        <v>46</v>
      </c>
      <c r="D13" s="13" t="s">
        <v>77</v>
      </c>
      <c r="E13" s="13" t="s">
        <v>78</v>
      </c>
      <c r="F13" s="12">
        <v>995.33</v>
      </c>
      <c r="G13" s="12">
        <v>373.55</v>
      </c>
      <c r="H13" s="12">
        <v>0.6153775260937153</v>
      </c>
      <c r="I13" s="12">
        <v>0.5503894839337877</v>
      </c>
      <c r="J13" s="12">
        <v>0.7955696202531645</v>
      </c>
      <c r="K13" s="12">
        <v>0.6715606262491672</v>
      </c>
      <c r="L13" s="12">
        <v>0.1265822784810127</v>
      </c>
      <c r="M13" s="12">
        <v>0.9871794871794872</v>
      </c>
      <c r="N13" s="12" t="s">
        <v>36</v>
      </c>
      <c r="O13" s="12">
        <v>17.06</v>
      </c>
      <c r="P13" s="12">
        <v>4.05</v>
      </c>
      <c r="Q13" s="12">
        <v>11.45</v>
      </c>
      <c r="R13" s="12">
        <v>7.24</v>
      </c>
      <c r="S13" s="12">
        <v>0.18</v>
      </c>
      <c r="T13" s="12">
        <v>19.58</v>
      </c>
      <c r="U13" s="12">
        <v>8.49</v>
      </c>
      <c r="V13" s="12">
        <v>0.0</v>
      </c>
      <c r="W13" s="11">
        <v>65.24</v>
      </c>
      <c r="X13" s="11">
        <v>75.67</v>
      </c>
      <c r="Y13" s="11">
        <v>0.04</v>
      </c>
    </row>
    <row r="14">
      <c r="A14" s="9">
        <v>13.0</v>
      </c>
      <c r="B14" s="9" t="s">
        <v>79</v>
      </c>
      <c r="C14" s="9" t="s">
        <v>38</v>
      </c>
      <c r="D14" s="10" t="s">
        <v>80</v>
      </c>
      <c r="E14" s="10" t="s">
        <v>81</v>
      </c>
      <c r="F14" s="9">
        <v>211239.29</v>
      </c>
      <c r="G14" s="9">
        <v>940.0</v>
      </c>
      <c r="H14" s="9">
        <v>0.6090656420020412</v>
      </c>
      <c r="I14" s="9">
        <v>0.818970744445428</v>
      </c>
      <c r="J14" s="9">
        <v>0.430379746835443</v>
      </c>
      <c r="K14" s="9">
        <v>0.2353097934710194</v>
      </c>
      <c r="L14" s="9">
        <v>0.8194865394901052</v>
      </c>
      <c r="M14" s="9">
        <v>0.8974358974358974</v>
      </c>
      <c r="N14" s="9" t="s">
        <v>53</v>
      </c>
      <c r="O14" s="9">
        <v>12.19</v>
      </c>
      <c r="P14" s="9">
        <v>1.57</v>
      </c>
      <c r="Q14" s="9">
        <v>7.55</v>
      </c>
      <c r="R14" s="9">
        <v>10.11</v>
      </c>
      <c r="S14" s="9">
        <v>0.56</v>
      </c>
      <c r="T14" s="9">
        <v>8.36</v>
      </c>
      <c r="U14" s="9">
        <v>3.12</v>
      </c>
      <c r="V14" s="9">
        <v>0.0</v>
      </c>
      <c r="W14" s="11">
        <v>34.64</v>
      </c>
      <c r="X14" s="11">
        <v>27.19</v>
      </c>
      <c r="Y14" s="11">
        <v>0.04</v>
      </c>
    </row>
    <row r="15">
      <c r="A15" s="12">
        <v>14.0</v>
      </c>
      <c r="B15" s="12" t="s">
        <v>82</v>
      </c>
      <c r="C15" s="12" t="s">
        <v>50</v>
      </c>
      <c r="D15" s="13" t="s">
        <v>83</v>
      </c>
      <c r="E15" s="13" t="s">
        <v>84</v>
      </c>
      <c r="F15" s="12">
        <v>544.18</v>
      </c>
      <c r="G15" s="12">
        <v>232.25</v>
      </c>
      <c r="H15" s="12">
        <v>0.6046052429529291</v>
      </c>
      <c r="I15" s="12">
        <v>0.5300334159511375</v>
      </c>
      <c r="J15" s="12">
        <v>0.5800632911392406</v>
      </c>
      <c r="K15" s="12">
        <v>0.8269070619586943</v>
      </c>
      <c r="L15" s="12">
        <v>0.4501515421643787</v>
      </c>
      <c r="M15" s="12">
        <v>0.7435897435897436</v>
      </c>
      <c r="N15" s="12" t="s">
        <v>36</v>
      </c>
      <c r="O15" s="12">
        <v>20.1</v>
      </c>
      <c r="P15" s="12">
        <v>3.2</v>
      </c>
      <c r="Q15" s="12">
        <v>13.0</v>
      </c>
      <c r="R15" s="12">
        <v>7.33</v>
      </c>
      <c r="S15" s="12">
        <v>0.0</v>
      </c>
      <c r="T15" s="12">
        <v>44.46</v>
      </c>
      <c r="U15" s="12">
        <v>8.17</v>
      </c>
      <c r="V15" s="12">
        <v>0.0</v>
      </c>
      <c r="W15" s="11">
        <v>68.68</v>
      </c>
      <c r="X15" s="11">
        <v>7.62</v>
      </c>
      <c r="Y15" s="11">
        <v>0.04</v>
      </c>
    </row>
    <row r="16">
      <c r="A16" s="9">
        <v>15.0</v>
      </c>
      <c r="B16" s="9" t="s">
        <v>85</v>
      </c>
      <c r="C16" s="9" t="s">
        <v>46</v>
      </c>
      <c r="D16" s="10" t="s">
        <v>86</v>
      </c>
      <c r="E16" s="10" t="s">
        <v>87</v>
      </c>
      <c r="F16" s="9">
        <v>2117.81</v>
      </c>
      <c r="G16" s="9">
        <v>376.7</v>
      </c>
      <c r="H16" s="9">
        <v>0.5987632418501249</v>
      </c>
      <c r="I16" s="9">
        <v>0.8725728850449627</v>
      </c>
      <c r="J16" s="9">
        <v>0.4139240506329114</v>
      </c>
      <c r="K16" s="9">
        <v>0.2388740839440373</v>
      </c>
      <c r="L16" s="9">
        <v>0.5841415582100197</v>
      </c>
      <c r="M16" s="9">
        <v>0.8012820512820513</v>
      </c>
      <c r="N16" s="9" t="s">
        <v>53</v>
      </c>
      <c r="O16" s="9">
        <v>12.71</v>
      </c>
      <c r="P16" s="9">
        <v>1.55</v>
      </c>
      <c r="Q16" s="9">
        <v>6.77</v>
      </c>
      <c r="R16" s="9">
        <v>9.88</v>
      </c>
      <c r="S16" s="9">
        <v>0.67</v>
      </c>
      <c r="T16" s="9">
        <v>3.96</v>
      </c>
      <c r="U16" s="9">
        <v>3.94</v>
      </c>
      <c r="V16" s="9">
        <v>0.0</v>
      </c>
      <c r="W16" s="11">
        <v>56.71</v>
      </c>
      <c r="X16" s="11">
        <v>12.84</v>
      </c>
      <c r="Y16" s="11">
        <v>0.04</v>
      </c>
    </row>
    <row r="17">
      <c r="A17" s="12">
        <v>16.0</v>
      </c>
      <c r="B17" s="12" t="s">
        <v>88</v>
      </c>
      <c r="C17" s="12" t="s">
        <v>46</v>
      </c>
      <c r="D17" s="13" t="s">
        <v>89</v>
      </c>
      <c r="E17" s="13" t="s">
        <v>90</v>
      </c>
      <c r="F17" s="12">
        <v>2141.8</v>
      </c>
      <c r="G17" s="12">
        <v>876.6</v>
      </c>
      <c r="H17" s="12">
        <v>0.5856673210505515</v>
      </c>
      <c r="I17" s="12">
        <v>0.8328516420288572</v>
      </c>
      <c r="J17" s="12">
        <v>0.3386075949367089</v>
      </c>
      <c r="K17" s="12">
        <v>0.1766572285143238</v>
      </c>
      <c r="L17" s="12">
        <v>0.8975485826350509</v>
      </c>
      <c r="M17" s="12">
        <v>0.8557692307692308</v>
      </c>
      <c r="N17" s="12" t="s">
        <v>53</v>
      </c>
      <c r="O17" s="12">
        <v>17.52</v>
      </c>
      <c r="P17" s="12">
        <v>2.36</v>
      </c>
      <c r="Q17" s="12">
        <v>7.55</v>
      </c>
      <c r="R17" s="12">
        <v>9.74</v>
      </c>
      <c r="S17" s="12">
        <v>0.79</v>
      </c>
      <c r="T17" s="12">
        <v>2.45</v>
      </c>
      <c r="U17" s="12">
        <v>3.32</v>
      </c>
      <c r="V17" s="12">
        <v>0.0</v>
      </c>
      <c r="W17" s="11">
        <v>58.31</v>
      </c>
      <c r="X17" s="11">
        <v>18.9</v>
      </c>
      <c r="Y17" s="11">
        <v>0.04</v>
      </c>
    </row>
    <row r="18">
      <c r="A18" s="9">
        <v>17.0</v>
      </c>
      <c r="B18" s="9" t="s">
        <v>91</v>
      </c>
      <c r="C18" s="9" t="s">
        <v>38</v>
      </c>
      <c r="D18" s="10" t="s">
        <v>92</v>
      </c>
      <c r="E18" s="10" t="s">
        <v>93</v>
      </c>
      <c r="F18" s="9">
        <v>260976.83</v>
      </c>
      <c r="G18" s="9">
        <v>617.65</v>
      </c>
      <c r="H18" s="9">
        <v>0.5855176815158893</v>
      </c>
      <c r="I18" s="9">
        <v>0.4317827741878375</v>
      </c>
      <c r="J18" s="9">
        <v>0.8120253164556962</v>
      </c>
      <c r="K18" s="9">
        <v>0.4399317121918722</v>
      </c>
      <c r="L18" s="9">
        <v>0.7437600285255838</v>
      </c>
      <c r="M18" s="9">
        <v>0.9487179487179487</v>
      </c>
      <c r="N18" s="9" t="s">
        <v>36</v>
      </c>
      <c r="O18" s="9">
        <v>22.36</v>
      </c>
      <c r="P18" s="9">
        <v>19.17</v>
      </c>
      <c r="Q18" s="9">
        <v>13.55</v>
      </c>
      <c r="R18" s="9">
        <v>6.0</v>
      </c>
      <c r="S18" s="9">
        <v>0.82</v>
      </c>
      <c r="T18" s="9">
        <v>17.29</v>
      </c>
      <c r="U18" s="9">
        <v>14.79</v>
      </c>
      <c r="V18" s="9">
        <v>9.27</v>
      </c>
      <c r="W18" s="11">
        <v>61.84</v>
      </c>
      <c r="X18" s="11">
        <v>41.16</v>
      </c>
      <c r="Y18" s="11">
        <v>0.04</v>
      </c>
    </row>
    <row r="19">
      <c r="A19" s="12">
        <v>18.0</v>
      </c>
      <c r="B19" s="12" t="s">
        <v>94</v>
      </c>
      <c r="C19" s="12" t="s">
        <v>95</v>
      </c>
      <c r="D19" s="13" t="s">
        <v>96</v>
      </c>
      <c r="E19" s="13" t="s">
        <v>97</v>
      </c>
      <c r="F19" s="12">
        <v>862.47</v>
      </c>
      <c r="G19" s="12">
        <v>163.78</v>
      </c>
      <c r="H19" s="12">
        <v>0.5667658378606129</v>
      </c>
      <c r="I19" s="12">
        <v>0.7736954501195008</v>
      </c>
      <c r="J19" s="12">
        <v>0.3034810126582279</v>
      </c>
      <c r="K19" s="12">
        <v>0.4025483011325784</v>
      </c>
      <c r="L19" s="12">
        <v>0.7398466749866287</v>
      </c>
      <c r="M19" s="12">
        <v>0.5384615384615384</v>
      </c>
      <c r="N19" s="12" t="s">
        <v>53</v>
      </c>
      <c r="O19" s="12">
        <v>11.14</v>
      </c>
      <c r="P19" s="12">
        <v>2.55</v>
      </c>
      <c r="Q19" s="12">
        <v>6.77</v>
      </c>
      <c r="R19" s="12">
        <v>13.03</v>
      </c>
      <c r="S19" s="12">
        <v>0.51</v>
      </c>
      <c r="T19" s="12">
        <v>8.82</v>
      </c>
      <c r="U19" s="12">
        <v>5.49</v>
      </c>
      <c r="V19" s="12">
        <v>0.0</v>
      </c>
      <c r="W19" s="11">
        <v>57.43</v>
      </c>
      <c r="X19" s="11">
        <v>-9.2</v>
      </c>
      <c r="Y19" s="11">
        <v>0.04</v>
      </c>
    </row>
    <row r="20">
      <c r="A20" s="9">
        <v>19.0</v>
      </c>
      <c r="B20" s="9" t="s">
        <v>98</v>
      </c>
      <c r="C20" s="9" t="s">
        <v>67</v>
      </c>
      <c r="D20" s="10" t="s">
        <v>99</v>
      </c>
      <c r="E20" s="10" t="s">
        <v>100</v>
      </c>
      <c r="F20" s="9">
        <v>2765.4</v>
      </c>
      <c r="G20" s="9">
        <v>891.95</v>
      </c>
      <c r="H20" s="9">
        <v>0.5606949442462152</v>
      </c>
      <c r="I20" s="9">
        <v>0.4880410728511995</v>
      </c>
      <c r="J20" s="9">
        <v>0.7227848101265824</v>
      </c>
      <c r="K20" s="9">
        <v>0.4135992671552299</v>
      </c>
      <c r="L20" s="9">
        <v>0.6039579247637725</v>
      </c>
      <c r="M20" s="9">
        <v>0.8333333333333333</v>
      </c>
      <c r="N20" s="9" t="s">
        <v>36</v>
      </c>
      <c r="O20" s="9">
        <v>24.27</v>
      </c>
      <c r="P20" s="9">
        <v>3.41</v>
      </c>
      <c r="Q20" s="9">
        <v>12.08</v>
      </c>
      <c r="R20" s="9">
        <v>6.61</v>
      </c>
      <c r="S20" s="9">
        <v>0.34</v>
      </c>
      <c r="T20" s="9">
        <v>5.52</v>
      </c>
      <c r="U20" s="9">
        <v>5.51</v>
      </c>
      <c r="V20" s="9">
        <v>0.0</v>
      </c>
      <c r="W20" s="11">
        <v>56.66</v>
      </c>
      <c r="X20" s="11">
        <v>14.74</v>
      </c>
      <c r="Y20" s="11">
        <v>0.04</v>
      </c>
    </row>
    <row r="21" ht="15.75" customHeight="1">
      <c r="A21" s="12">
        <v>20.0</v>
      </c>
      <c r="B21" s="12" t="s">
        <v>101</v>
      </c>
      <c r="C21" s="12" t="s">
        <v>46</v>
      </c>
      <c r="D21" s="13" t="s">
        <v>102</v>
      </c>
      <c r="E21" s="13" t="s">
        <v>103</v>
      </c>
      <c r="F21" s="12">
        <v>3683.78</v>
      </c>
      <c r="G21" s="12">
        <v>220.52</v>
      </c>
      <c r="H21" s="12">
        <v>0.5539733217132088</v>
      </c>
      <c r="I21" s="12">
        <v>0.6849893777108967</v>
      </c>
      <c r="J21" s="12">
        <v>0.2936708860759494</v>
      </c>
      <c r="K21" s="12">
        <v>0.5242588274483679</v>
      </c>
      <c r="L21" s="12">
        <v>0.6965680156890711</v>
      </c>
      <c r="M21" s="12">
        <v>0.641025641025641</v>
      </c>
      <c r="N21" s="12" t="s">
        <v>53</v>
      </c>
      <c r="O21" s="12">
        <v>17.62</v>
      </c>
      <c r="P21" s="12">
        <v>2.55</v>
      </c>
      <c r="Q21" s="12">
        <v>10.09</v>
      </c>
      <c r="R21" s="12">
        <v>7.25</v>
      </c>
      <c r="S21" s="12">
        <v>0.16</v>
      </c>
      <c r="T21" s="12">
        <v>18.93</v>
      </c>
      <c r="U21" s="12">
        <v>6.3</v>
      </c>
      <c r="V21" s="12">
        <v>0.0</v>
      </c>
      <c r="W21" s="11">
        <v>57.11</v>
      </c>
      <c r="X21" s="11">
        <v>0.15</v>
      </c>
      <c r="Y21" s="11">
        <v>0.04</v>
      </c>
    </row>
    <row r="22" ht="15.75" customHeight="1">
      <c r="A22" s="9">
        <v>21.0</v>
      </c>
      <c r="B22" s="9" t="s">
        <v>104</v>
      </c>
      <c r="C22" s="9" t="s">
        <v>46</v>
      </c>
      <c r="D22" s="10" t="s">
        <v>105</v>
      </c>
      <c r="E22" s="10" t="s">
        <v>106</v>
      </c>
      <c r="F22" s="9">
        <v>5725.84</v>
      </c>
      <c r="G22" s="9">
        <v>2175.5</v>
      </c>
      <c r="H22" s="9">
        <v>0.5525962439892825</v>
      </c>
      <c r="I22" s="9">
        <v>0.3292821102947685</v>
      </c>
      <c r="J22" s="9">
        <v>0.8512658227848101</v>
      </c>
      <c r="K22" s="9">
        <v>0.7129163890739508</v>
      </c>
      <c r="L22" s="9">
        <v>0.3375289712961312</v>
      </c>
      <c r="M22" s="9">
        <v>0.6346153846153846</v>
      </c>
      <c r="N22" s="9" t="s">
        <v>36</v>
      </c>
      <c r="O22" s="9">
        <v>23.8</v>
      </c>
      <c r="P22" s="9">
        <v>5.3</v>
      </c>
      <c r="Q22" s="9">
        <v>14.03</v>
      </c>
      <c r="R22" s="9">
        <v>5.83</v>
      </c>
      <c r="S22" s="9">
        <v>0.06</v>
      </c>
      <c r="T22" s="9">
        <v>214.57</v>
      </c>
      <c r="U22" s="9">
        <v>9.63</v>
      </c>
      <c r="V22" s="9">
        <v>0.0</v>
      </c>
      <c r="W22" s="11">
        <v>54.52</v>
      </c>
      <c r="X22" s="11">
        <v>0.0</v>
      </c>
      <c r="Y22" s="11">
        <v>0.04</v>
      </c>
    </row>
    <row r="23" ht="15.75" customHeight="1">
      <c r="A23" s="12">
        <v>22.0</v>
      </c>
      <c r="B23" s="12" t="s">
        <v>107</v>
      </c>
      <c r="C23" s="12" t="s">
        <v>55</v>
      </c>
      <c r="D23" s="13" t="s">
        <v>108</v>
      </c>
      <c r="E23" s="13" t="s">
        <v>109</v>
      </c>
      <c r="F23" s="12">
        <v>1040.42</v>
      </c>
      <c r="G23" s="12">
        <v>422.8</v>
      </c>
      <c r="H23" s="12">
        <v>0.5497627205378846</v>
      </c>
      <c r="I23" s="12">
        <v>0.2950882977781712</v>
      </c>
      <c r="J23" s="12">
        <v>0.8031645569620254</v>
      </c>
      <c r="K23" s="12">
        <v>0.7043887408394405</v>
      </c>
      <c r="L23" s="12">
        <v>0.5480210376181137</v>
      </c>
      <c r="M23" s="12">
        <v>0.7051282051282051</v>
      </c>
      <c r="N23" s="12" t="s">
        <v>36</v>
      </c>
      <c r="O23" s="12">
        <v>24.67</v>
      </c>
      <c r="P23" s="12">
        <v>5.89</v>
      </c>
      <c r="Q23" s="12">
        <v>16.74</v>
      </c>
      <c r="R23" s="12">
        <v>5.59</v>
      </c>
      <c r="S23" s="12">
        <v>0.04</v>
      </c>
      <c r="T23" s="12">
        <v>111.82</v>
      </c>
      <c r="U23" s="12">
        <v>9.03</v>
      </c>
      <c r="V23" s="12">
        <v>0.0</v>
      </c>
      <c r="W23" s="11">
        <v>62.45</v>
      </c>
      <c r="X23" s="11">
        <v>4.43</v>
      </c>
      <c r="Y23" s="11">
        <v>0.04</v>
      </c>
    </row>
    <row r="24" ht="15.75" customHeight="1">
      <c r="A24" s="9">
        <v>23.0</v>
      </c>
      <c r="B24" s="9" t="s">
        <v>110</v>
      </c>
      <c r="C24" s="9" t="s">
        <v>55</v>
      </c>
      <c r="D24" s="10" t="s">
        <v>111</v>
      </c>
      <c r="E24" s="10" t="s">
        <v>112</v>
      </c>
      <c r="F24" s="9">
        <v>11941.71</v>
      </c>
      <c r="G24" s="9">
        <v>212.47</v>
      </c>
      <c r="H24" s="9">
        <v>0.5452338982062124</v>
      </c>
      <c r="I24" s="9">
        <v>0.4807415685580242</v>
      </c>
      <c r="J24" s="9">
        <v>0.6949367088607595</v>
      </c>
      <c r="K24" s="9">
        <v>0.6385326449033978</v>
      </c>
      <c r="L24" s="9">
        <v>0.1495810304867178</v>
      </c>
      <c r="M24" s="9">
        <v>0.7307692307692308</v>
      </c>
      <c r="N24" s="9" t="s">
        <v>53</v>
      </c>
      <c r="O24" s="9">
        <v>15.39</v>
      </c>
      <c r="P24" s="9">
        <v>4.41</v>
      </c>
      <c r="Q24" s="9">
        <v>10.57</v>
      </c>
      <c r="R24" s="9">
        <v>9.08</v>
      </c>
      <c r="S24" s="9">
        <v>0.01</v>
      </c>
      <c r="T24" s="9">
        <v>428.28</v>
      </c>
      <c r="U24" s="9">
        <v>5.62</v>
      </c>
      <c r="V24" s="9">
        <v>0.0</v>
      </c>
      <c r="W24" s="11">
        <v>51.32</v>
      </c>
      <c r="X24" s="11">
        <v>6.44</v>
      </c>
      <c r="Y24" s="11">
        <v>0.04</v>
      </c>
    </row>
    <row r="25" ht="15.75" customHeight="1">
      <c r="A25" s="12">
        <v>24.0</v>
      </c>
      <c r="B25" s="12" t="s">
        <v>113</v>
      </c>
      <c r="C25" s="12" t="s">
        <v>63</v>
      </c>
      <c r="D25" s="13" t="s">
        <v>114</v>
      </c>
      <c r="E25" s="13" t="s">
        <v>115</v>
      </c>
      <c r="F25" s="12">
        <v>2879.53</v>
      </c>
      <c r="G25" s="12">
        <v>506.5</v>
      </c>
      <c r="H25" s="12">
        <v>0.5423574835223173</v>
      </c>
      <c r="I25" s="12">
        <v>0.4055424006373373</v>
      </c>
      <c r="J25" s="12">
        <v>0.680379746835443</v>
      </c>
      <c r="K25" s="12">
        <v>0.5075366422385078</v>
      </c>
      <c r="L25" s="12">
        <v>0.6655107862364058</v>
      </c>
      <c r="M25" s="12">
        <v>0.8397435897435898</v>
      </c>
      <c r="N25" s="12" t="s">
        <v>36</v>
      </c>
      <c r="O25" s="12">
        <v>24.74</v>
      </c>
      <c r="P25" s="12">
        <v>5.71</v>
      </c>
      <c r="Q25" s="12">
        <v>13.51</v>
      </c>
      <c r="R25" s="12">
        <v>5.91</v>
      </c>
      <c r="S25" s="12">
        <v>0.34</v>
      </c>
      <c r="T25" s="12">
        <v>8.79</v>
      </c>
      <c r="U25" s="12">
        <v>6.97</v>
      </c>
      <c r="V25" s="12">
        <v>0.0</v>
      </c>
      <c r="W25" s="11">
        <v>68.77</v>
      </c>
      <c r="X25" s="11">
        <v>14.85</v>
      </c>
      <c r="Y25" s="11">
        <v>0.04</v>
      </c>
    </row>
    <row r="26" ht="15.75" customHeight="1">
      <c r="A26" s="9">
        <v>25.0</v>
      </c>
      <c r="B26" s="9" t="s">
        <v>116</v>
      </c>
      <c r="C26" s="9" t="s">
        <v>67</v>
      </c>
      <c r="D26" s="10" t="s">
        <v>117</v>
      </c>
      <c r="E26" s="10" t="s">
        <v>118</v>
      </c>
      <c r="F26" s="9">
        <v>1726.07</v>
      </c>
      <c r="G26" s="9">
        <v>178.02</v>
      </c>
      <c r="H26" s="9">
        <v>0.5395186638545292</v>
      </c>
      <c r="I26" s="9">
        <v>0.4012293086660175</v>
      </c>
      <c r="J26" s="9">
        <v>0.4740506329113924</v>
      </c>
      <c r="K26" s="9">
        <v>0.8158894070619588</v>
      </c>
      <c r="L26" s="9">
        <v>0.5374665715813871</v>
      </c>
      <c r="M26" s="9">
        <v>0.8717948717948718</v>
      </c>
      <c r="N26" s="9" t="s">
        <v>53</v>
      </c>
      <c r="O26" s="9">
        <v>22.54</v>
      </c>
      <c r="P26" s="9">
        <v>4.69</v>
      </c>
      <c r="Q26" s="9">
        <v>13.21</v>
      </c>
      <c r="R26" s="9">
        <v>6.09</v>
      </c>
      <c r="S26" s="9">
        <v>0.04</v>
      </c>
      <c r="T26" s="9">
        <v>69.44</v>
      </c>
      <c r="U26" s="9">
        <v>10.0</v>
      </c>
      <c r="V26" s="9">
        <v>0.0</v>
      </c>
      <c r="W26" s="11">
        <v>74.4</v>
      </c>
      <c r="X26" s="11">
        <v>19.21</v>
      </c>
      <c r="Y26" s="11">
        <v>0.04</v>
      </c>
    </row>
    <row r="27" ht="15.75" customHeight="1">
      <c r="A27" s="12">
        <v>26.0</v>
      </c>
      <c r="B27" s="12" t="s">
        <v>119</v>
      </c>
      <c r="C27" s="12" t="s">
        <v>46</v>
      </c>
      <c r="D27" s="13" t="s">
        <v>120</v>
      </c>
      <c r="E27" s="13" t="s">
        <v>121</v>
      </c>
      <c r="F27" s="12">
        <v>8490.69</v>
      </c>
      <c r="G27" s="12">
        <v>593.6</v>
      </c>
      <c r="H27" s="12">
        <v>0.5391552193095649</v>
      </c>
      <c r="I27" s="12">
        <v>0.4892515712135965</v>
      </c>
      <c r="J27" s="12">
        <v>0.7129746835443038</v>
      </c>
      <c r="K27" s="12">
        <v>0.5499500333111261</v>
      </c>
      <c r="L27" s="12">
        <v>0.250927081476199</v>
      </c>
      <c r="M27" s="12">
        <v>0.6025641025641025</v>
      </c>
      <c r="N27" s="12" t="s">
        <v>53</v>
      </c>
      <c r="O27" s="12">
        <v>17.77</v>
      </c>
      <c r="P27" s="12">
        <v>5.19</v>
      </c>
      <c r="Q27" s="12">
        <v>11.82</v>
      </c>
      <c r="R27" s="12">
        <v>7.25</v>
      </c>
      <c r="S27" s="12">
        <v>0.45</v>
      </c>
      <c r="T27" s="12">
        <v>21.41</v>
      </c>
      <c r="U27" s="12">
        <v>7.61</v>
      </c>
      <c r="V27" s="12">
        <v>0.0</v>
      </c>
      <c r="W27" s="11">
        <v>67.88</v>
      </c>
      <c r="X27" s="11">
        <v>-2.39</v>
      </c>
    </row>
    <row r="28" ht="15.75" customHeight="1">
      <c r="A28" s="9">
        <v>27.0</v>
      </c>
      <c r="B28" s="9" t="s">
        <v>122</v>
      </c>
      <c r="C28" s="9" t="s">
        <v>46</v>
      </c>
      <c r="D28" s="10" t="s">
        <v>123</v>
      </c>
      <c r="E28" s="10" t="s">
        <v>124</v>
      </c>
      <c r="F28" s="9">
        <v>17718.12</v>
      </c>
      <c r="G28" s="9">
        <v>467.05</v>
      </c>
      <c r="H28" s="9">
        <v>0.5379877819396544</v>
      </c>
      <c r="I28" s="9">
        <v>0.601605514738426</v>
      </c>
      <c r="J28" s="9">
        <v>0.2876582278481012</v>
      </c>
      <c r="K28" s="9">
        <v>0.5184543637574951</v>
      </c>
      <c r="L28" s="9">
        <v>0.7895168479229809</v>
      </c>
      <c r="M28" s="9">
        <v>0.8557692307692308</v>
      </c>
      <c r="N28" s="9" t="s">
        <v>53</v>
      </c>
      <c r="O28" s="9">
        <v>21.53</v>
      </c>
      <c r="P28" s="9">
        <v>2.38</v>
      </c>
      <c r="Q28" s="9">
        <v>12.2</v>
      </c>
      <c r="R28" s="9">
        <v>6.19</v>
      </c>
      <c r="S28" s="9">
        <v>0.06</v>
      </c>
      <c r="T28" s="9">
        <v>41.78</v>
      </c>
      <c r="U28" s="9">
        <v>4.96</v>
      </c>
      <c r="V28" s="9">
        <v>0.0</v>
      </c>
      <c r="W28" s="11">
        <v>65.7</v>
      </c>
      <c r="X28" s="11">
        <v>18.9</v>
      </c>
    </row>
    <row r="29" ht="15.75" customHeight="1">
      <c r="A29" s="12">
        <v>28.0</v>
      </c>
      <c r="B29" s="12" t="s">
        <v>125</v>
      </c>
      <c r="C29" s="12" t="s">
        <v>50</v>
      </c>
      <c r="D29" s="13" t="s">
        <v>126</v>
      </c>
      <c r="E29" s="13" t="s">
        <v>127</v>
      </c>
      <c r="F29" s="12">
        <v>3138.13</v>
      </c>
      <c r="G29" s="12">
        <v>141.86</v>
      </c>
      <c r="H29" s="12">
        <v>0.5349592977937228</v>
      </c>
      <c r="I29" s="12">
        <v>0.6634294502965388</v>
      </c>
      <c r="J29" s="12">
        <v>0.309493670886076</v>
      </c>
      <c r="K29" s="12">
        <v>0.517163557628248</v>
      </c>
      <c r="L29" s="12">
        <v>0.6089677304332324</v>
      </c>
      <c r="M29" s="12">
        <v>0.5576923076923077</v>
      </c>
      <c r="N29" s="12" t="s">
        <v>53</v>
      </c>
      <c r="O29" s="12">
        <v>17.93</v>
      </c>
      <c r="P29" s="12">
        <v>1.62</v>
      </c>
      <c r="Q29" s="12">
        <v>9.06</v>
      </c>
      <c r="R29" s="12">
        <v>8.46</v>
      </c>
      <c r="S29" s="12">
        <v>0.05</v>
      </c>
      <c r="T29" s="12">
        <v>12.95</v>
      </c>
      <c r="U29" s="12">
        <v>4.68</v>
      </c>
      <c r="V29" s="12">
        <v>0.0</v>
      </c>
      <c r="W29" s="11">
        <v>63.35</v>
      </c>
      <c r="X29" s="11">
        <v>-7.46</v>
      </c>
    </row>
    <row r="30" ht="15.75" customHeight="1">
      <c r="A30" s="9">
        <v>29.0</v>
      </c>
      <c r="B30" s="9" t="s">
        <v>128</v>
      </c>
      <c r="C30" s="9" t="s">
        <v>38</v>
      </c>
      <c r="D30" s="10" t="s">
        <v>129</v>
      </c>
      <c r="E30" s="10" t="s">
        <v>130</v>
      </c>
      <c r="F30" s="9">
        <v>10249.05</v>
      </c>
      <c r="G30" s="9">
        <v>1136.0</v>
      </c>
      <c r="H30" s="9">
        <v>0.5329123608763708</v>
      </c>
      <c r="I30" s="9">
        <v>0.5335741789855715</v>
      </c>
      <c r="J30" s="9">
        <v>0.3740506329113924</v>
      </c>
      <c r="K30" s="9">
        <v>0.7358510992671553</v>
      </c>
      <c r="L30" s="9">
        <v>0.3424852914958103</v>
      </c>
      <c r="M30" s="9">
        <v>0.891025641025641</v>
      </c>
      <c r="N30" s="9" t="s">
        <v>53</v>
      </c>
      <c r="O30" s="9">
        <v>18.11</v>
      </c>
      <c r="P30" s="9">
        <v>3.83</v>
      </c>
      <c r="Q30" s="9">
        <v>10.02</v>
      </c>
      <c r="R30" s="9">
        <v>6.89</v>
      </c>
      <c r="S30" s="9">
        <v>0.0</v>
      </c>
      <c r="T30" s="9">
        <v>406.6</v>
      </c>
      <c r="U30" s="9">
        <v>5.99</v>
      </c>
      <c r="V30" s="9">
        <v>0.0</v>
      </c>
      <c r="W30" s="11">
        <v>74.82</v>
      </c>
      <c r="X30" s="11">
        <v>25.73</v>
      </c>
    </row>
    <row r="31" ht="15.75" customHeight="1">
      <c r="A31" s="12">
        <v>30.0</v>
      </c>
      <c r="B31" s="12" t="s">
        <v>131</v>
      </c>
      <c r="C31" s="12" t="s">
        <v>63</v>
      </c>
      <c r="D31" s="13" t="s">
        <v>132</v>
      </c>
      <c r="E31" s="13" t="s">
        <v>133</v>
      </c>
      <c r="F31" s="12">
        <v>3090.78</v>
      </c>
      <c r="G31" s="12">
        <v>459.75</v>
      </c>
      <c r="H31" s="12">
        <v>0.5276399059086188</v>
      </c>
      <c r="I31" s="12">
        <v>0.5452432061609277</v>
      </c>
      <c r="J31" s="12">
        <v>0.530379746835443</v>
      </c>
      <c r="K31" s="12">
        <v>0.4761908727514991</v>
      </c>
      <c r="L31" s="12">
        <v>0.3651720449277946</v>
      </c>
      <c r="M31" s="12">
        <v>0.9038461538461539</v>
      </c>
      <c r="N31" s="12" t="s">
        <v>53</v>
      </c>
      <c r="O31" s="12">
        <v>18.41</v>
      </c>
      <c r="P31" s="12">
        <v>8.0</v>
      </c>
      <c r="Q31" s="12">
        <v>12.67</v>
      </c>
      <c r="R31" s="12">
        <v>7.46</v>
      </c>
      <c r="S31" s="12">
        <v>0.05</v>
      </c>
      <c r="T31" s="12">
        <v>11.69</v>
      </c>
      <c r="U31" s="12">
        <v>4.04</v>
      </c>
      <c r="V31" s="12">
        <v>0.0</v>
      </c>
      <c r="W31" s="11">
        <v>68.58</v>
      </c>
      <c r="X31" s="11">
        <v>27.21</v>
      </c>
    </row>
    <row r="32" ht="15.75" customHeight="1">
      <c r="A32" s="9">
        <v>31.0</v>
      </c>
      <c r="B32" s="9" t="s">
        <v>134</v>
      </c>
      <c r="C32" s="9" t="s">
        <v>33</v>
      </c>
      <c r="D32" s="10" t="s">
        <v>135</v>
      </c>
      <c r="E32" s="10" t="s">
        <v>136</v>
      </c>
      <c r="F32" s="9">
        <v>7467.56</v>
      </c>
      <c r="G32" s="9">
        <v>474.45</v>
      </c>
      <c r="H32" s="9">
        <v>0.5261012227990581</v>
      </c>
      <c r="I32" s="9">
        <v>0.5757590510755068</v>
      </c>
      <c r="J32" s="9">
        <v>0.449367088607595</v>
      </c>
      <c r="K32" s="9">
        <v>0.5802048634243838</v>
      </c>
      <c r="L32" s="9">
        <v>0.3311998573720806</v>
      </c>
      <c r="M32" s="9">
        <v>0.6858974358974359</v>
      </c>
      <c r="N32" s="9" t="s">
        <v>53</v>
      </c>
      <c r="O32" s="9">
        <v>23.02</v>
      </c>
      <c r="P32" s="9">
        <v>2.37</v>
      </c>
      <c r="Q32" s="9">
        <v>10.26</v>
      </c>
      <c r="R32" s="9">
        <v>7.13</v>
      </c>
      <c r="S32" s="9">
        <v>0.03</v>
      </c>
      <c r="T32" s="9">
        <v>5.63</v>
      </c>
      <c r="U32" s="9">
        <v>4.84</v>
      </c>
      <c r="V32" s="9">
        <v>0.0</v>
      </c>
      <c r="W32" s="11">
        <v>75.26</v>
      </c>
      <c r="X32" s="11">
        <v>1.89</v>
      </c>
    </row>
    <row r="33" ht="15.75" customHeight="1">
      <c r="A33" s="12">
        <v>32.0</v>
      </c>
      <c r="B33" s="12" t="s">
        <v>137</v>
      </c>
      <c r="C33" s="12" t="s">
        <v>46</v>
      </c>
      <c r="D33" s="13" t="s">
        <v>138</v>
      </c>
      <c r="E33" s="13" t="s">
        <v>139</v>
      </c>
      <c r="F33" s="12">
        <v>3035.72</v>
      </c>
      <c r="G33" s="12">
        <v>504.35</v>
      </c>
      <c r="H33" s="12">
        <v>0.4687834955953393</v>
      </c>
      <c r="I33" s="12">
        <v>0.6613060989643267</v>
      </c>
      <c r="J33" s="12">
        <v>0.3044303797468355</v>
      </c>
      <c r="K33" s="12">
        <v>0.2543637574950034</v>
      </c>
      <c r="L33" s="12">
        <v>0.3978070957389909</v>
      </c>
      <c r="M33" s="12">
        <v>0.75</v>
      </c>
      <c r="N33" s="12" t="s">
        <v>53</v>
      </c>
      <c r="O33" s="12">
        <v>17.14</v>
      </c>
      <c r="P33" s="12">
        <v>2.47</v>
      </c>
      <c r="Q33" s="12">
        <v>8.16</v>
      </c>
      <c r="R33" s="12">
        <v>7.53</v>
      </c>
      <c r="S33" s="12">
        <v>0.78</v>
      </c>
      <c r="T33" s="12">
        <v>4.54</v>
      </c>
      <c r="U33" s="12">
        <v>3.77</v>
      </c>
      <c r="V33" s="12">
        <v>0.0</v>
      </c>
      <c r="W33" s="11">
        <v>70.38</v>
      </c>
      <c r="X33" s="11">
        <v>9.13</v>
      </c>
    </row>
    <row r="34" ht="15.75" customHeight="1">
      <c r="A34" s="9">
        <v>33.0</v>
      </c>
      <c r="B34" s="9" t="s">
        <v>140</v>
      </c>
      <c r="C34" s="9" t="s">
        <v>67</v>
      </c>
      <c r="D34" s="10" t="s">
        <v>141</v>
      </c>
      <c r="E34" s="10" t="s">
        <v>142</v>
      </c>
      <c r="F34" s="9">
        <v>131819.56</v>
      </c>
      <c r="G34" s="9">
        <v>1345.4</v>
      </c>
      <c r="H34" s="9">
        <v>0.4650370018814296</v>
      </c>
      <c r="I34" s="9">
        <v>0.3153182260777198</v>
      </c>
      <c r="J34" s="9">
        <v>0.4924050632911393</v>
      </c>
      <c r="K34" s="9">
        <v>0.5884077281812126</v>
      </c>
      <c r="L34" s="9">
        <v>0.7152433588875022</v>
      </c>
      <c r="M34" s="9">
        <v>0.532051282051282</v>
      </c>
      <c r="N34" s="9" t="s">
        <v>53</v>
      </c>
      <c r="O34" s="9">
        <v>27.41</v>
      </c>
      <c r="P34" s="9">
        <v>4.79</v>
      </c>
      <c r="Q34" s="9">
        <v>14.86</v>
      </c>
      <c r="R34" s="9">
        <v>5.29</v>
      </c>
      <c r="S34" s="9">
        <v>0.07</v>
      </c>
      <c r="T34" s="9">
        <v>20.52</v>
      </c>
      <c r="U34" s="9">
        <v>7.44</v>
      </c>
      <c r="V34" s="9">
        <v>0.0</v>
      </c>
      <c r="W34" s="11">
        <v>34.98</v>
      </c>
      <c r="X34" s="11">
        <v>-10.33</v>
      </c>
    </row>
    <row r="35" ht="15.75" customHeight="1">
      <c r="A35" s="12">
        <v>34.0</v>
      </c>
      <c r="B35" s="12" t="s">
        <v>143</v>
      </c>
      <c r="C35" s="12" t="s">
        <v>67</v>
      </c>
      <c r="D35" s="13" t="s">
        <v>144</v>
      </c>
      <c r="E35" s="13" t="s">
        <v>145</v>
      </c>
      <c r="F35" s="12">
        <v>266070.93</v>
      </c>
      <c r="G35" s="12">
        <v>137.97</v>
      </c>
      <c r="H35" s="12">
        <v>0.455797547358854</v>
      </c>
      <c r="I35" s="12">
        <v>0.3576646454811012</v>
      </c>
      <c r="J35" s="12">
        <v>0.6000000000000001</v>
      </c>
      <c r="K35" s="12">
        <v>0.3143071285809461</v>
      </c>
      <c r="L35" s="12">
        <v>0.5948564806560884</v>
      </c>
      <c r="M35" s="12">
        <v>0.8076923076923077</v>
      </c>
      <c r="N35" s="12" t="s">
        <v>53</v>
      </c>
      <c r="O35" s="12">
        <v>23.23</v>
      </c>
      <c r="P35" s="12">
        <v>4.55</v>
      </c>
      <c r="Q35" s="12">
        <v>13.8</v>
      </c>
      <c r="R35" s="12">
        <v>5.77</v>
      </c>
      <c r="S35" s="12">
        <v>0.83</v>
      </c>
      <c r="T35" s="12">
        <v>5.54</v>
      </c>
      <c r="U35" s="12">
        <v>5.03</v>
      </c>
      <c r="V35" s="12">
        <v>1.81</v>
      </c>
      <c r="W35" s="11">
        <v>74.96</v>
      </c>
      <c r="X35" s="11">
        <v>13.33</v>
      </c>
    </row>
    <row r="36" ht="15.75" customHeight="1">
      <c r="A36" s="9">
        <v>35.0</v>
      </c>
      <c r="B36" s="9" t="s">
        <v>32</v>
      </c>
      <c r="C36" s="9" t="s">
        <v>33</v>
      </c>
      <c r="D36" s="10" t="s">
        <v>146</v>
      </c>
      <c r="E36" s="10" t="s">
        <v>147</v>
      </c>
      <c r="F36" s="9">
        <v>105627.26</v>
      </c>
      <c r="G36" s="9">
        <v>2311.1</v>
      </c>
      <c r="H36" s="9">
        <v>0.4549418188032235</v>
      </c>
      <c r="I36" s="9">
        <v>0.3692683898380101</v>
      </c>
      <c r="J36" s="9">
        <v>0.5319620253164558</v>
      </c>
      <c r="K36" s="9">
        <v>0.5239590273151233</v>
      </c>
      <c r="L36" s="9">
        <v>0.2618292030665003</v>
      </c>
      <c r="M36" s="9">
        <v>0.8653846153846154</v>
      </c>
      <c r="N36" s="9" t="s">
        <v>53</v>
      </c>
      <c r="O36" s="9">
        <v>21.23</v>
      </c>
      <c r="P36" s="9">
        <v>5.38</v>
      </c>
      <c r="Q36" s="9">
        <v>13.61</v>
      </c>
      <c r="R36" s="9">
        <v>6.13</v>
      </c>
      <c r="S36" s="9">
        <v>0.32</v>
      </c>
      <c r="T36" s="9">
        <v>16.53</v>
      </c>
      <c r="U36" s="9">
        <v>7.64</v>
      </c>
      <c r="V36" s="9">
        <v>0.0</v>
      </c>
      <c r="W36" s="11">
        <v>46.89</v>
      </c>
      <c r="X36" s="11">
        <v>19.18</v>
      </c>
    </row>
    <row r="37" ht="15.75" customHeight="1">
      <c r="A37" s="12">
        <v>36.0</v>
      </c>
      <c r="B37" s="12" t="s">
        <v>148</v>
      </c>
      <c r="C37" s="12" t="s">
        <v>67</v>
      </c>
      <c r="D37" s="13" t="s">
        <v>149</v>
      </c>
      <c r="E37" s="13" t="s">
        <v>150</v>
      </c>
      <c r="F37" s="12">
        <v>17536.11</v>
      </c>
      <c r="G37" s="12">
        <v>551.45</v>
      </c>
      <c r="H37" s="12">
        <v>0.4493214888160512</v>
      </c>
      <c r="I37" s="12">
        <v>0.2932692307692308</v>
      </c>
      <c r="J37" s="12">
        <v>0.4265822784810127</v>
      </c>
      <c r="K37" s="12">
        <v>0.7050632911392405</v>
      </c>
      <c r="L37" s="12">
        <v>0.4012479942948832</v>
      </c>
      <c r="M37" s="12">
        <v>0.8846153846153846</v>
      </c>
      <c r="N37" s="12" t="s">
        <v>53</v>
      </c>
      <c r="O37" s="12">
        <v>27.42</v>
      </c>
      <c r="P37" s="12">
        <v>2.61</v>
      </c>
      <c r="Q37" s="12">
        <v>18.35</v>
      </c>
      <c r="R37" s="12">
        <v>4.91</v>
      </c>
      <c r="S37" s="12">
        <v>0.04</v>
      </c>
      <c r="T37" s="12">
        <v>454.62</v>
      </c>
      <c r="U37" s="12">
        <v>5.54</v>
      </c>
      <c r="V37" s="12">
        <v>0.0</v>
      </c>
      <c r="W37" s="11">
        <v>74.0</v>
      </c>
      <c r="X37" s="11">
        <v>21.14</v>
      </c>
    </row>
    <row r="38" ht="15.75" customHeight="1">
      <c r="A38" s="9">
        <v>37.0</v>
      </c>
      <c r="B38" s="9" t="s">
        <v>151</v>
      </c>
      <c r="C38" s="9" t="s">
        <v>55</v>
      </c>
      <c r="D38" s="10" t="s">
        <v>152</v>
      </c>
      <c r="E38" s="10" t="s">
        <v>153</v>
      </c>
      <c r="F38" s="9">
        <v>4809.89</v>
      </c>
      <c r="G38" s="9">
        <v>274.95</v>
      </c>
      <c r="H38" s="9">
        <v>0.4478112050298433</v>
      </c>
      <c r="I38" s="9">
        <v>0.4785496149420201</v>
      </c>
      <c r="J38" s="9">
        <v>0.4310126582278481</v>
      </c>
      <c r="K38" s="9">
        <v>0.2587191872085277</v>
      </c>
      <c r="L38" s="9">
        <v>0.6195845961847031</v>
      </c>
      <c r="M38" s="9">
        <v>0.6987179487179487</v>
      </c>
      <c r="N38" s="9" t="s">
        <v>53</v>
      </c>
      <c r="O38" s="9">
        <v>20.13</v>
      </c>
      <c r="P38" s="9">
        <v>4.39</v>
      </c>
      <c r="Q38" s="9">
        <v>8.62</v>
      </c>
      <c r="R38" s="9">
        <v>7.13</v>
      </c>
      <c r="S38" s="9">
        <v>1.01</v>
      </c>
      <c r="T38" s="9">
        <v>4.26</v>
      </c>
      <c r="U38" s="9">
        <v>5.47</v>
      </c>
      <c r="V38" s="9">
        <v>0.0</v>
      </c>
      <c r="W38" s="11">
        <v>60.24</v>
      </c>
      <c r="X38" s="11">
        <v>2.79</v>
      </c>
    </row>
    <row r="39" ht="15.75" customHeight="1">
      <c r="A39" s="12">
        <v>38.0</v>
      </c>
      <c r="B39" s="12" t="s">
        <v>154</v>
      </c>
      <c r="C39" s="12" t="s">
        <v>46</v>
      </c>
      <c r="D39" s="13" t="s">
        <v>155</v>
      </c>
      <c r="E39" s="13" t="s">
        <v>156</v>
      </c>
      <c r="F39" s="12">
        <v>2155.35</v>
      </c>
      <c r="G39" s="12">
        <v>257.7</v>
      </c>
      <c r="H39" s="12">
        <v>0.4455737376095987</v>
      </c>
      <c r="I39" s="12">
        <v>0.4047368770470036</v>
      </c>
      <c r="J39" s="12">
        <v>0.5414556962025316</v>
      </c>
      <c r="K39" s="12">
        <v>0.2551798800799468</v>
      </c>
      <c r="L39" s="12">
        <v>0.6490729185238011</v>
      </c>
      <c r="M39" s="12">
        <v>0.6474358974358975</v>
      </c>
      <c r="N39" s="12" t="s">
        <v>53</v>
      </c>
      <c r="O39" s="12">
        <v>24.21</v>
      </c>
      <c r="P39" s="12">
        <v>5.26</v>
      </c>
      <c r="Q39" s="12">
        <v>10.43</v>
      </c>
      <c r="R39" s="12">
        <v>6.05</v>
      </c>
      <c r="S39" s="12">
        <v>1.26</v>
      </c>
      <c r="T39" s="12">
        <v>3.73</v>
      </c>
      <c r="U39" s="12">
        <v>5.2</v>
      </c>
      <c r="V39" s="12">
        <v>0.0</v>
      </c>
      <c r="W39" s="11">
        <v>74.21</v>
      </c>
      <c r="X39" s="11">
        <v>0.27</v>
      </c>
    </row>
    <row r="40" ht="15.75" customHeight="1">
      <c r="A40" s="9">
        <v>39.0</v>
      </c>
      <c r="B40" s="9" t="s">
        <v>157</v>
      </c>
      <c r="C40" s="9" t="s">
        <v>50</v>
      </c>
      <c r="D40" s="10" t="s">
        <v>158</v>
      </c>
      <c r="E40" s="10" t="s">
        <v>159</v>
      </c>
      <c r="F40" s="9">
        <v>9464.41</v>
      </c>
      <c r="G40" s="9">
        <v>4073.8</v>
      </c>
      <c r="H40" s="9">
        <v>0.4330836368124655</v>
      </c>
      <c r="I40" s="9">
        <v>0.2156059130742675</v>
      </c>
      <c r="J40" s="9">
        <v>0.4481012658227849</v>
      </c>
      <c r="K40" s="9">
        <v>0.7637658227848101</v>
      </c>
      <c r="L40" s="9">
        <v>0.3494740595471563</v>
      </c>
      <c r="M40" s="9">
        <v>0.9423076923076923</v>
      </c>
      <c r="N40" s="9" t="s">
        <v>53</v>
      </c>
      <c r="O40" s="9">
        <v>30.75</v>
      </c>
      <c r="P40" s="9">
        <v>3.78</v>
      </c>
      <c r="Q40" s="9">
        <v>20.18</v>
      </c>
      <c r="R40" s="9">
        <v>4.49</v>
      </c>
      <c r="S40" s="9">
        <v>0.01</v>
      </c>
      <c r="T40" s="9">
        <v>51.39</v>
      </c>
      <c r="U40" s="9">
        <v>8.18</v>
      </c>
      <c r="V40" s="9">
        <v>0.0</v>
      </c>
      <c r="W40" s="11">
        <v>60.72</v>
      </c>
      <c r="X40" s="11">
        <v>40.77</v>
      </c>
    </row>
    <row r="41" ht="15.75" customHeight="1">
      <c r="A41" s="12">
        <v>40.0</v>
      </c>
      <c r="B41" s="12" t="s">
        <v>160</v>
      </c>
      <c r="C41" s="12" t="s">
        <v>67</v>
      </c>
      <c r="D41" s="13" t="s">
        <v>161</v>
      </c>
      <c r="E41" s="13" t="s">
        <v>162</v>
      </c>
      <c r="F41" s="12">
        <v>502.14</v>
      </c>
      <c r="G41" s="12">
        <v>210.9</v>
      </c>
      <c r="H41" s="12">
        <v>0.4330556217653529</v>
      </c>
      <c r="I41" s="12">
        <v>0.2022717992501578</v>
      </c>
      <c r="J41" s="12">
        <v>0.7639240506329114</v>
      </c>
      <c r="K41" s="12">
        <v>0.4545636242504997</v>
      </c>
      <c r="L41" s="12">
        <v>0.2025316455696203</v>
      </c>
      <c r="M41" s="12">
        <v>1.0</v>
      </c>
      <c r="N41" s="12" t="s">
        <v>53</v>
      </c>
      <c r="O41" s="12">
        <v>24.58</v>
      </c>
      <c r="P41" s="14"/>
      <c r="Q41" s="12">
        <v>17.91</v>
      </c>
      <c r="R41" s="12">
        <v>5.33</v>
      </c>
      <c r="S41" s="12">
        <v>0.69</v>
      </c>
      <c r="T41" s="12">
        <v>18.64</v>
      </c>
      <c r="U41" s="12">
        <v>7.73</v>
      </c>
      <c r="V41" s="12">
        <v>0.0</v>
      </c>
      <c r="W41" s="11">
        <v>62.47</v>
      </c>
    </row>
    <row r="42" ht="15.75" customHeight="1">
      <c r="A42" s="9">
        <v>41.0</v>
      </c>
      <c r="B42" s="9" t="s">
        <v>163</v>
      </c>
      <c r="C42" s="9" t="s">
        <v>67</v>
      </c>
      <c r="D42" s="10" t="s">
        <v>164</v>
      </c>
      <c r="E42" s="10" t="s">
        <v>165</v>
      </c>
      <c r="F42" s="9">
        <v>52773.79</v>
      </c>
      <c r="G42" s="9">
        <v>119.01</v>
      </c>
      <c r="H42" s="9">
        <v>0.4170566844326006</v>
      </c>
      <c r="I42" s="9">
        <v>0.4318889970788705</v>
      </c>
      <c r="J42" s="9">
        <v>0.1370253164556962</v>
      </c>
      <c r="K42" s="9">
        <v>0.4924300466355764</v>
      </c>
      <c r="L42" s="9">
        <v>0.7341772151898734</v>
      </c>
      <c r="M42" s="9">
        <v>0.7628205128205128</v>
      </c>
      <c r="N42" s="9" t="s">
        <v>53</v>
      </c>
      <c r="O42" s="9">
        <v>28.77</v>
      </c>
      <c r="P42" s="9">
        <v>1.16</v>
      </c>
      <c r="Q42" s="9">
        <v>29.37</v>
      </c>
      <c r="R42" s="9">
        <v>3.4</v>
      </c>
      <c r="S42" s="9">
        <v>0.07</v>
      </c>
      <c r="T42" s="9">
        <v>32.52</v>
      </c>
      <c r="U42" s="9">
        <v>3.19</v>
      </c>
      <c r="V42" s="9">
        <v>0.03</v>
      </c>
      <c r="W42" s="11">
        <v>78.56</v>
      </c>
      <c r="X42" s="11">
        <v>10.59</v>
      </c>
    </row>
    <row r="43" ht="15.75" customHeight="1">
      <c r="A43" s="12">
        <v>42.0</v>
      </c>
      <c r="B43" s="12" t="s">
        <v>166</v>
      </c>
      <c r="C43" s="12" t="s">
        <v>38</v>
      </c>
      <c r="D43" s="13" t="s">
        <v>167</v>
      </c>
      <c r="E43" s="13" t="s">
        <v>168</v>
      </c>
      <c r="F43" s="12">
        <v>2858.99</v>
      </c>
      <c r="G43" s="12">
        <v>472.15</v>
      </c>
      <c r="H43" s="12">
        <v>0.4161917749676312</v>
      </c>
      <c r="I43" s="12">
        <v>0.408184890314451</v>
      </c>
      <c r="J43" s="12">
        <v>0.649367088607595</v>
      </c>
      <c r="K43" s="12">
        <v>0.405338107928048</v>
      </c>
      <c r="L43" s="12">
        <v>0.0418791228382956</v>
      </c>
      <c r="M43" s="12">
        <v>0.5064102564102564</v>
      </c>
      <c r="N43" s="12" t="s">
        <v>53</v>
      </c>
      <c r="O43" s="12">
        <v>22.0</v>
      </c>
      <c r="P43" s="12">
        <v>6.43</v>
      </c>
      <c r="Q43" s="12">
        <v>11.51</v>
      </c>
      <c r="R43" s="12">
        <v>7.66</v>
      </c>
      <c r="S43" s="12">
        <v>0.93</v>
      </c>
      <c r="T43" s="12">
        <v>7.46</v>
      </c>
      <c r="U43" s="12">
        <v>6.64</v>
      </c>
      <c r="V43" s="12">
        <v>0.0</v>
      </c>
      <c r="W43" s="11">
        <v>72.26</v>
      </c>
      <c r="X43" s="11">
        <v>-18.11</v>
      </c>
    </row>
    <row r="44" ht="15.75" customHeight="1">
      <c r="A44" s="9">
        <v>43.0</v>
      </c>
      <c r="B44" s="9" t="s">
        <v>169</v>
      </c>
      <c r="C44" s="9" t="s">
        <v>38</v>
      </c>
      <c r="D44" s="10" t="s">
        <v>170</v>
      </c>
      <c r="E44" s="10" t="s">
        <v>171</v>
      </c>
      <c r="F44" s="9">
        <v>3317.63</v>
      </c>
      <c r="G44" s="9">
        <v>492.85</v>
      </c>
      <c r="H44" s="9">
        <v>0.4058183231410049</v>
      </c>
      <c r="I44" s="9">
        <v>0.4459161464001375</v>
      </c>
      <c r="J44" s="9">
        <v>0.3901898734177215</v>
      </c>
      <c r="K44" s="9">
        <v>0.3967521652231846</v>
      </c>
      <c r="L44" s="9">
        <v>0.1657960420752362</v>
      </c>
      <c r="M44" s="9">
        <v>0.6794871794871795</v>
      </c>
      <c r="N44" s="9" t="s">
        <v>53</v>
      </c>
      <c r="O44" s="9">
        <v>24.08</v>
      </c>
      <c r="P44" s="9">
        <v>3.32</v>
      </c>
      <c r="Q44" s="9">
        <v>13.5</v>
      </c>
      <c r="R44" s="9">
        <v>6.31</v>
      </c>
      <c r="S44" s="9">
        <v>0.42</v>
      </c>
      <c r="T44" s="9">
        <v>5.41</v>
      </c>
      <c r="U44" s="9">
        <v>5.22</v>
      </c>
      <c r="V44" s="9">
        <v>0.0</v>
      </c>
      <c r="W44" s="11">
        <v>69.21</v>
      </c>
      <c r="X44" s="11">
        <v>1.7</v>
      </c>
    </row>
    <row r="45" ht="15.75" customHeight="1">
      <c r="A45" s="12">
        <v>44.0</v>
      </c>
      <c r="B45" s="12" t="s">
        <v>32</v>
      </c>
      <c r="C45" s="12" t="s">
        <v>33</v>
      </c>
      <c r="D45" s="13" t="s">
        <v>172</v>
      </c>
      <c r="E45" s="13" t="s">
        <v>173</v>
      </c>
      <c r="F45" s="12">
        <v>27398.92</v>
      </c>
      <c r="G45" s="12">
        <v>1445.3</v>
      </c>
      <c r="H45" s="12">
        <v>0.4005955901139394</v>
      </c>
      <c r="I45" s="12">
        <v>0.193822474993361</v>
      </c>
      <c r="J45" s="12">
        <v>0.5936708860759494</v>
      </c>
      <c r="K45" s="12">
        <v>0.4906728847435045</v>
      </c>
      <c r="L45" s="12">
        <v>0.4061686575147084</v>
      </c>
      <c r="M45" s="12">
        <v>0.717948717948718</v>
      </c>
      <c r="N45" s="12" t="s">
        <v>53</v>
      </c>
      <c r="O45" s="12">
        <v>30.3</v>
      </c>
      <c r="P45" s="12">
        <v>5.78</v>
      </c>
      <c r="Q45" s="12">
        <v>15.87</v>
      </c>
      <c r="R45" s="12">
        <v>4.88</v>
      </c>
      <c r="S45" s="12">
        <v>0.35</v>
      </c>
      <c r="T45" s="12">
        <v>10.23</v>
      </c>
      <c r="U45" s="12">
        <v>7.05</v>
      </c>
      <c r="V45" s="12">
        <v>0.04</v>
      </c>
      <c r="W45" s="11">
        <v>77.87</v>
      </c>
      <c r="X45" s="11">
        <v>5.44</v>
      </c>
    </row>
    <row r="46" ht="15.75" customHeight="1">
      <c r="A46" s="9">
        <v>45.0</v>
      </c>
      <c r="B46" s="9" t="s">
        <v>174</v>
      </c>
      <c r="C46" s="9" t="s">
        <v>38</v>
      </c>
      <c r="D46" s="10" t="s">
        <v>175</v>
      </c>
      <c r="E46" s="10" t="s">
        <v>176</v>
      </c>
      <c r="F46" s="9">
        <v>13710.79</v>
      </c>
      <c r="G46" s="9">
        <v>568.25</v>
      </c>
      <c r="H46" s="9">
        <v>0.3866051818349582</v>
      </c>
      <c r="I46" s="9">
        <v>0.1524829600778967</v>
      </c>
      <c r="J46" s="9">
        <v>0.5791139240506329</v>
      </c>
      <c r="K46" s="9">
        <v>0.6559793471019322</v>
      </c>
      <c r="L46" s="9">
        <v>0.2143251916562667</v>
      </c>
      <c r="M46" s="9">
        <v>0.5641025641025641</v>
      </c>
      <c r="N46" s="9" t="s">
        <v>53</v>
      </c>
      <c r="O46" s="9">
        <v>28.6</v>
      </c>
      <c r="P46" s="9">
        <v>4.42</v>
      </c>
      <c r="Q46" s="9">
        <v>18.53</v>
      </c>
      <c r="R46" s="9">
        <v>4.49</v>
      </c>
      <c r="S46" s="9">
        <v>0.21</v>
      </c>
      <c r="T46" s="9">
        <v>18.99</v>
      </c>
      <c r="U46" s="9">
        <v>8.28</v>
      </c>
      <c r="V46" s="9">
        <v>0.0</v>
      </c>
      <c r="W46" s="11">
        <v>69.83</v>
      </c>
      <c r="X46" s="11">
        <v>-7.23</v>
      </c>
    </row>
    <row r="47" ht="15.75" customHeight="1">
      <c r="A47" s="12">
        <v>46.0</v>
      </c>
      <c r="B47" s="12" t="s">
        <v>32</v>
      </c>
      <c r="C47" s="12" t="s">
        <v>33</v>
      </c>
      <c r="D47" s="13" t="s">
        <v>177</v>
      </c>
      <c r="E47" s="13" t="s">
        <v>178</v>
      </c>
      <c r="F47" s="12">
        <v>13938.89</v>
      </c>
      <c r="G47" s="12">
        <v>574.4</v>
      </c>
      <c r="H47" s="12">
        <v>0.3848715241416586</v>
      </c>
      <c r="I47" s="12">
        <v>0.3612043020270869</v>
      </c>
      <c r="J47" s="12">
        <v>0.3658227848101265</v>
      </c>
      <c r="K47" s="12">
        <v>0.3307295136575616</v>
      </c>
      <c r="L47" s="12">
        <v>0.4336512747370298</v>
      </c>
      <c r="M47" s="12">
        <v>0.7884615384615384</v>
      </c>
      <c r="N47" s="12" t="s">
        <v>53</v>
      </c>
      <c r="O47" s="12">
        <v>25.65</v>
      </c>
      <c r="P47" s="12">
        <v>3.5</v>
      </c>
      <c r="Q47" s="12">
        <v>13.77</v>
      </c>
      <c r="R47" s="12">
        <v>5.43</v>
      </c>
      <c r="S47" s="12">
        <v>0.45</v>
      </c>
      <c r="T47" s="12">
        <v>7.77</v>
      </c>
      <c r="U47" s="12">
        <v>5.25</v>
      </c>
      <c r="V47" s="12">
        <v>0.0</v>
      </c>
      <c r="W47" s="11">
        <v>38.02</v>
      </c>
      <c r="X47" s="11">
        <v>12.0</v>
      </c>
    </row>
    <row r="48" ht="15.75" customHeight="1">
      <c r="A48" s="9">
        <v>47.0</v>
      </c>
      <c r="B48" s="9" t="s">
        <v>179</v>
      </c>
      <c r="C48" s="9" t="s">
        <v>38</v>
      </c>
      <c r="D48" s="10" t="s">
        <v>180</v>
      </c>
      <c r="E48" s="10" t="s">
        <v>181</v>
      </c>
      <c r="F48" s="9">
        <v>6011.3</v>
      </c>
      <c r="G48" s="9">
        <v>896.85</v>
      </c>
      <c r="H48" s="9">
        <v>0.3794966390635731</v>
      </c>
      <c r="I48" s="9">
        <v>0.5851638123603872</v>
      </c>
      <c r="J48" s="9">
        <v>0.2123417721518988</v>
      </c>
      <c r="K48" s="9">
        <v>0.1567038640906063</v>
      </c>
      <c r="L48" s="9">
        <v>0.2478694954537351</v>
      </c>
      <c r="M48" s="9">
        <v>0.7243589743589743</v>
      </c>
      <c r="N48" s="9" t="s">
        <v>182</v>
      </c>
      <c r="O48" s="9">
        <v>22.22</v>
      </c>
      <c r="P48" s="9">
        <v>2.51</v>
      </c>
      <c r="Q48" s="9">
        <v>11.73</v>
      </c>
      <c r="R48" s="9">
        <v>6.69</v>
      </c>
      <c r="S48" s="9">
        <v>0.86</v>
      </c>
      <c r="T48" s="9">
        <v>2.87</v>
      </c>
      <c r="U48" s="9">
        <v>2.99</v>
      </c>
      <c r="V48" s="9">
        <v>0.0</v>
      </c>
      <c r="W48" s="11">
        <v>59.63</v>
      </c>
      <c r="X48" s="11">
        <v>5.62</v>
      </c>
    </row>
    <row r="49" ht="15.75" customHeight="1">
      <c r="A49" s="12">
        <v>48.0</v>
      </c>
      <c r="B49" s="12" t="s">
        <v>183</v>
      </c>
      <c r="C49" s="12" t="s">
        <v>46</v>
      </c>
      <c r="D49" s="13" t="s">
        <v>184</v>
      </c>
      <c r="E49" s="13" t="s">
        <v>185</v>
      </c>
      <c r="F49" s="12">
        <v>1135.86</v>
      </c>
      <c r="G49" s="12">
        <v>180.87</v>
      </c>
      <c r="H49" s="12">
        <v>0.3773527638044376</v>
      </c>
      <c r="I49" s="12">
        <v>0.2675554155449911</v>
      </c>
      <c r="J49" s="12">
        <v>0.4955696202531645</v>
      </c>
      <c r="K49" s="12">
        <v>0.399417055296469</v>
      </c>
      <c r="L49" s="12">
        <v>0.280932430023177</v>
      </c>
      <c r="M49" s="12">
        <v>0.7692307692307692</v>
      </c>
      <c r="N49" s="12" t="s">
        <v>53</v>
      </c>
      <c r="O49" s="12">
        <v>27.46</v>
      </c>
      <c r="P49" s="12">
        <v>5.49</v>
      </c>
      <c r="Q49" s="12">
        <v>12.86</v>
      </c>
      <c r="R49" s="12">
        <v>5.18</v>
      </c>
      <c r="S49" s="12">
        <v>0.64</v>
      </c>
      <c r="T49" s="12">
        <v>6.66</v>
      </c>
      <c r="U49" s="12">
        <v>5.8</v>
      </c>
      <c r="V49" s="12">
        <v>0.0</v>
      </c>
      <c r="W49" s="11">
        <v>74.66</v>
      </c>
      <c r="X49" s="11">
        <v>10.79</v>
      </c>
    </row>
    <row r="50" ht="15.75" customHeight="1">
      <c r="A50" s="9">
        <v>49.0</v>
      </c>
      <c r="B50" s="9" t="s">
        <v>186</v>
      </c>
      <c r="C50" s="9" t="s">
        <v>55</v>
      </c>
      <c r="D50" s="10" t="s">
        <v>187</v>
      </c>
      <c r="E50" s="10" t="s">
        <v>188</v>
      </c>
      <c r="F50" s="9">
        <v>38009.35</v>
      </c>
      <c r="G50" s="9">
        <v>3397.4</v>
      </c>
      <c r="H50" s="9">
        <v>0.3700664538588904</v>
      </c>
      <c r="I50" s="9">
        <v>0.2761955607683456</v>
      </c>
      <c r="J50" s="9">
        <v>0.2237341772151899</v>
      </c>
      <c r="K50" s="9">
        <v>0.7491005996002665</v>
      </c>
      <c r="L50" s="9">
        <v>0.2498841148154751</v>
      </c>
      <c r="M50" s="9">
        <v>0.5769230769230769</v>
      </c>
      <c r="N50" s="9" t="s">
        <v>53</v>
      </c>
      <c r="O50" s="9">
        <v>29.18</v>
      </c>
      <c r="P50" s="9">
        <v>3.2</v>
      </c>
      <c r="Q50" s="9">
        <v>18.23</v>
      </c>
      <c r="R50" s="9">
        <v>4.8</v>
      </c>
      <c r="S50" s="9">
        <v>0.01</v>
      </c>
      <c r="T50" s="9">
        <v>86.4</v>
      </c>
      <c r="U50" s="9">
        <v>6.87</v>
      </c>
      <c r="V50" s="9">
        <v>0.0</v>
      </c>
      <c r="W50" s="11">
        <v>68.04</v>
      </c>
      <c r="X50" s="11">
        <v>-6.49</v>
      </c>
    </row>
    <row r="51" ht="15.75" customHeight="1">
      <c r="A51" s="12">
        <v>50.0</v>
      </c>
      <c r="B51" s="12" t="s">
        <v>189</v>
      </c>
      <c r="C51" s="12" t="s">
        <v>55</v>
      </c>
      <c r="D51" s="13" t="s">
        <v>190</v>
      </c>
      <c r="E51" s="13" t="s">
        <v>191</v>
      </c>
      <c r="F51" s="12">
        <v>2176.05</v>
      </c>
      <c r="G51" s="12">
        <v>450.7</v>
      </c>
      <c r="H51" s="12">
        <v>0.3693770278633525</v>
      </c>
      <c r="I51" s="12">
        <v>0.5605561601466293</v>
      </c>
      <c r="J51" s="12">
        <v>0.1553797468354431</v>
      </c>
      <c r="K51" s="12">
        <v>0.1306045969353764</v>
      </c>
      <c r="L51" s="12">
        <v>0.3211178463184168</v>
      </c>
      <c r="M51" s="12">
        <v>0.9615384615384616</v>
      </c>
      <c r="N51" s="12" t="s">
        <v>182</v>
      </c>
      <c r="O51" s="12">
        <v>25.13</v>
      </c>
      <c r="P51" s="12">
        <v>2.35</v>
      </c>
      <c r="Q51" s="12">
        <v>10.77</v>
      </c>
      <c r="R51" s="12">
        <v>6.09</v>
      </c>
      <c r="S51" s="12">
        <v>1.31</v>
      </c>
      <c r="T51" s="12">
        <v>2.62</v>
      </c>
      <c r="U51" s="12">
        <v>2.92</v>
      </c>
      <c r="V51" s="12">
        <v>0.0</v>
      </c>
      <c r="W51" s="11">
        <v>56.34</v>
      </c>
      <c r="X51" s="11">
        <v>42.06</v>
      </c>
    </row>
    <row r="52" ht="15.75" customHeight="1">
      <c r="A52" s="9">
        <v>51.0</v>
      </c>
      <c r="B52" s="9" t="s">
        <v>192</v>
      </c>
      <c r="C52" s="9" t="s">
        <v>67</v>
      </c>
      <c r="D52" s="10" t="s">
        <v>193</v>
      </c>
      <c r="E52" s="10" t="s">
        <v>194</v>
      </c>
      <c r="F52" s="9">
        <v>78351.96</v>
      </c>
      <c r="G52" s="9">
        <v>1554.9</v>
      </c>
      <c r="H52" s="9">
        <v>0.3630001131478082</v>
      </c>
      <c r="I52" s="9">
        <v>0.2466351686288395</v>
      </c>
      <c r="J52" s="9">
        <v>0.4544303797468354</v>
      </c>
      <c r="K52" s="9">
        <v>0.3044387075283145</v>
      </c>
      <c r="L52" s="9">
        <v>0.4594045284364415</v>
      </c>
      <c r="M52" s="9">
        <v>0.8782051282051282</v>
      </c>
      <c r="N52" s="9" t="s">
        <v>53</v>
      </c>
      <c r="O52" s="9">
        <v>24.81</v>
      </c>
      <c r="P52" s="9">
        <v>4.17</v>
      </c>
      <c r="Q52" s="9">
        <v>15.03</v>
      </c>
      <c r="R52" s="9">
        <v>4.87</v>
      </c>
      <c r="S52" s="9">
        <v>0.55</v>
      </c>
      <c r="T52" s="9">
        <v>4.69</v>
      </c>
      <c r="U52" s="9">
        <v>4.9</v>
      </c>
      <c r="V52" s="9">
        <v>0.0</v>
      </c>
      <c r="W52" s="11">
        <v>51.09</v>
      </c>
      <c r="X52" s="11">
        <v>20.08</v>
      </c>
    </row>
    <row r="53" ht="15.75" customHeight="1">
      <c r="A53" s="12">
        <v>52.0</v>
      </c>
      <c r="B53" s="12" t="s">
        <v>195</v>
      </c>
      <c r="C53" s="12" t="s">
        <v>67</v>
      </c>
      <c r="D53" s="13" t="s">
        <v>196</v>
      </c>
      <c r="E53" s="13" t="s">
        <v>197</v>
      </c>
      <c r="F53" s="12">
        <v>3640.73</v>
      </c>
      <c r="G53" s="12">
        <v>229.98</v>
      </c>
      <c r="H53" s="12">
        <v>0.361972469670624</v>
      </c>
      <c r="I53" s="12">
        <v>0.2367708241125963</v>
      </c>
      <c r="J53" s="12">
        <v>0.4683544303797469</v>
      </c>
      <c r="K53" s="12">
        <v>0.4809127248501</v>
      </c>
      <c r="L53" s="12">
        <v>0.2065965412729542</v>
      </c>
      <c r="M53" s="12">
        <v>0.6666666666666666</v>
      </c>
      <c r="N53" s="12" t="s">
        <v>53</v>
      </c>
      <c r="O53" s="12">
        <v>36.62</v>
      </c>
      <c r="P53" s="12">
        <v>4.1</v>
      </c>
      <c r="Q53" s="12">
        <v>17.42</v>
      </c>
      <c r="R53" s="12">
        <v>4.47</v>
      </c>
      <c r="S53" s="12">
        <v>0.31</v>
      </c>
      <c r="T53" s="12">
        <v>5.67</v>
      </c>
      <c r="U53" s="12">
        <v>6.32</v>
      </c>
      <c r="V53" s="12">
        <v>0.0</v>
      </c>
      <c r="W53" s="11">
        <v>58.39</v>
      </c>
      <c r="X53" s="11">
        <v>1.27</v>
      </c>
    </row>
    <row r="54" ht="15.75" customHeight="1">
      <c r="A54" s="9">
        <v>53.0</v>
      </c>
      <c r="B54" s="9" t="s">
        <v>198</v>
      </c>
      <c r="C54" s="9" t="s">
        <v>67</v>
      </c>
      <c r="D54" s="10" t="s">
        <v>199</v>
      </c>
      <c r="E54" s="10" t="s">
        <v>200</v>
      </c>
      <c r="F54" s="9">
        <v>14775.97</v>
      </c>
      <c r="G54" s="9">
        <v>442.45</v>
      </c>
      <c r="H54" s="9">
        <v>0.3471695598427777</v>
      </c>
      <c r="I54" s="9">
        <v>0.2692141719040453</v>
      </c>
      <c r="J54" s="9">
        <v>0.259493670886076</v>
      </c>
      <c r="K54" s="9">
        <v>0.4292638241172552</v>
      </c>
      <c r="L54" s="9">
        <v>0.5189873417721519</v>
      </c>
      <c r="M54" s="9">
        <v>0.7371794871794872</v>
      </c>
      <c r="N54" s="9" t="s">
        <v>53</v>
      </c>
      <c r="O54" s="9">
        <v>41.7</v>
      </c>
      <c r="P54" s="9">
        <v>2.41</v>
      </c>
      <c r="Q54" s="9">
        <v>19.28</v>
      </c>
      <c r="R54" s="9">
        <v>4.45</v>
      </c>
      <c r="S54" s="9">
        <v>0.28</v>
      </c>
      <c r="T54" s="9">
        <v>2.61</v>
      </c>
      <c r="U54" s="9">
        <v>4.31</v>
      </c>
      <c r="V54" s="9">
        <v>0.0</v>
      </c>
      <c r="W54" s="11">
        <v>75.91</v>
      </c>
      <c r="X54" s="11">
        <v>7.61</v>
      </c>
    </row>
    <row r="55" ht="15.75" customHeight="1">
      <c r="A55" s="12">
        <v>54.0</v>
      </c>
      <c r="B55" s="12" t="s">
        <v>201</v>
      </c>
      <c r="C55" s="12" t="s">
        <v>50</v>
      </c>
      <c r="D55" s="13" t="s">
        <v>202</v>
      </c>
      <c r="E55" s="13" t="s">
        <v>203</v>
      </c>
      <c r="F55" s="12">
        <v>1327.7</v>
      </c>
      <c r="G55" s="12">
        <v>248.4</v>
      </c>
      <c r="H55" s="12">
        <v>0.3338349333224809</v>
      </c>
      <c r="I55" s="12">
        <v>0.338092101494931</v>
      </c>
      <c r="J55" s="12">
        <v>0.3819620253164557</v>
      </c>
      <c r="K55" s="12">
        <v>0.3286059293804131</v>
      </c>
      <c r="L55" s="12">
        <v>0.08860759493670886</v>
      </c>
      <c r="M55" s="12">
        <v>0.5705128205128205</v>
      </c>
      <c r="N55" s="12" t="s">
        <v>53</v>
      </c>
      <c r="O55" s="12">
        <v>26.59</v>
      </c>
      <c r="P55" s="12">
        <v>5.3</v>
      </c>
      <c r="Q55" s="12">
        <v>12.19</v>
      </c>
      <c r="R55" s="12">
        <v>5.47</v>
      </c>
      <c r="S55" s="12">
        <v>0.83</v>
      </c>
      <c r="T55" s="12">
        <v>6.72</v>
      </c>
      <c r="U55" s="12">
        <v>4.98</v>
      </c>
      <c r="V55" s="12">
        <v>0.0</v>
      </c>
      <c r="W55" s="11">
        <v>67.74</v>
      </c>
      <c r="X55" s="11">
        <v>-7.16</v>
      </c>
    </row>
    <row r="56" ht="15.75" customHeight="1">
      <c r="A56" s="9">
        <v>55.0</v>
      </c>
      <c r="B56" s="9" t="s">
        <v>137</v>
      </c>
      <c r="C56" s="9" t="s">
        <v>46</v>
      </c>
      <c r="D56" s="10" t="s">
        <v>204</v>
      </c>
      <c r="E56" s="10" t="s">
        <v>205</v>
      </c>
      <c r="F56" s="9">
        <v>135782.9</v>
      </c>
      <c r="G56" s="9">
        <v>128.65</v>
      </c>
      <c r="H56" s="9">
        <v>0.3276853895557859</v>
      </c>
      <c r="I56" s="9">
        <v>0.2926695140302735</v>
      </c>
      <c r="J56" s="9">
        <v>0.3177215189873418</v>
      </c>
      <c r="K56" s="9">
        <v>0.1940872751499001</v>
      </c>
      <c r="L56" s="9">
        <v>0.462159030130148</v>
      </c>
      <c r="M56" s="9">
        <v>0.9230769230769231</v>
      </c>
      <c r="N56" s="9" t="s">
        <v>53</v>
      </c>
      <c r="O56" s="9">
        <v>38.52</v>
      </c>
      <c r="P56" s="9">
        <v>3.66</v>
      </c>
      <c r="Q56" s="9">
        <v>12.76</v>
      </c>
      <c r="R56" s="9">
        <v>4.49</v>
      </c>
      <c r="S56" s="9">
        <v>0.53</v>
      </c>
      <c r="T56" s="9">
        <v>4.24</v>
      </c>
      <c r="U56" s="9">
        <v>4.13</v>
      </c>
      <c r="V56" s="9">
        <v>2.9</v>
      </c>
      <c r="W56" s="11">
        <v>48.6</v>
      </c>
      <c r="X56" s="11">
        <v>36.4</v>
      </c>
    </row>
    <row r="57" ht="15.75" customHeight="1">
      <c r="A57" s="12">
        <v>56.0</v>
      </c>
      <c r="B57" s="12" t="s">
        <v>206</v>
      </c>
      <c r="C57" s="12" t="s">
        <v>46</v>
      </c>
      <c r="D57" s="13" t="s">
        <v>207</v>
      </c>
      <c r="E57" s="13" t="s">
        <v>208</v>
      </c>
      <c r="F57" s="12">
        <v>11928.98</v>
      </c>
      <c r="G57" s="12">
        <v>124.37</v>
      </c>
      <c r="H57" s="12">
        <v>0.3166222311896909</v>
      </c>
      <c r="I57" s="12">
        <v>0.2462622820217757</v>
      </c>
      <c r="J57" s="12">
        <v>0.2620253164556962</v>
      </c>
      <c r="K57" s="12">
        <v>0.2653605929380414</v>
      </c>
      <c r="L57" s="12">
        <v>0.6075681939739703</v>
      </c>
      <c r="M57" s="12">
        <v>0.7756410256410257</v>
      </c>
      <c r="N57" s="12" t="s">
        <v>53</v>
      </c>
      <c r="O57" s="12">
        <v>51.17</v>
      </c>
      <c r="P57" s="12">
        <v>2.47</v>
      </c>
      <c r="Q57" s="12">
        <v>15.74</v>
      </c>
      <c r="R57" s="12">
        <v>3.69</v>
      </c>
      <c r="S57" s="12">
        <v>0.56</v>
      </c>
      <c r="T57" s="12">
        <v>2.92</v>
      </c>
      <c r="U57" s="12">
        <v>3.84</v>
      </c>
      <c r="V57" s="12">
        <v>0.0</v>
      </c>
      <c r="W57" s="11">
        <v>66.24</v>
      </c>
      <c r="X57" s="11">
        <v>11.07</v>
      </c>
    </row>
    <row r="58" ht="15.75" customHeight="1">
      <c r="A58" s="9">
        <v>57.0</v>
      </c>
      <c r="B58" s="9" t="s">
        <v>209</v>
      </c>
      <c r="C58" s="9" t="s">
        <v>46</v>
      </c>
      <c r="D58" s="10" t="s">
        <v>210</v>
      </c>
      <c r="E58" s="10" t="s">
        <v>211</v>
      </c>
      <c r="F58" s="9">
        <v>16703.03</v>
      </c>
      <c r="G58" s="9">
        <v>187.7</v>
      </c>
      <c r="H58" s="9">
        <v>0.3081866551007222</v>
      </c>
      <c r="I58" s="9">
        <v>0.2822469786356607</v>
      </c>
      <c r="J58" s="9">
        <v>0.1927215189873418</v>
      </c>
      <c r="K58" s="9">
        <v>0.4557378414390407</v>
      </c>
      <c r="L58" s="9">
        <v>0.1012658227848101</v>
      </c>
      <c r="M58" s="9">
        <v>0.9166666666666667</v>
      </c>
      <c r="N58" s="9" t="s">
        <v>182</v>
      </c>
      <c r="O58" s="9">
        <v>34.71</v>
      </c>
      <c r="P58" s="9">
        <v>3.36</v>
      </c>
      <c r="Q58" s="9">
        <v>14.31</v>
      </c>
      <c r="R58" s="9">
        <v>5.0</v>
      </c>
      <c r="S58" s="9">
        <v>0.29</v>
      </c>
      <c r="T58" s="9">
        <v>3.55</v>
      </c>
      <c r="U58" s="9">
        <v>6.01</v>
      </c>
      <c r="V58" s="9">
        <v>0.0</v>
      </c>
      <c r="W58" s="11">
        <v>66.46</v>
      </c>
      <c r="X58" s="11">
        <v>36.16</v>
      </c>
    </row>
    <row r="59" ht="15.75" customHeight="1">
      <c r="A59" s="12">
        <v>58.0</v>
      </c>
      <c r="B59" s="12" t="s">
        <v>212</v>
      </c>
      <c r="C59" s="12" t="s">
        <v>63</v>
      </c>
      <c r="D59" s="13" t="s">
        <v>213</v>
      </c>
      <c r="E59" s="13" t="s">
        <v>214</v>
      </c>
      <c r="F59" s="12">
        <v>3073.05</v>
      </c>
      <c r="G59" s="12">
        <v>329.2</v>
      </c>
      <c r="H59" s="12">
        <v>0.2950709817944455</v>
      </c>
      <c r="I59" s="12">
        <v>0.1555667433831991</v>
      </c>
      <c r="J59" s="12">
        <v>0.4452531645569621</v>
      </c>
      <c r="K59" s="12">
        <v>0.2977681545636243</v>
      </c>
      <c r="L59" s="12">
        <v>0.3569531110714922</v>
      </c>
      <c r="M59" s="12">
        <v>0.5256410256410257</v>
      </c>
      <c r="N59" s="12" t="s">
        <v>53</v>
      </c>
      <c r="O59" s="12">
        <v>34.66</v>
      </c>
      <c r="P59" s="12">
        <v>6.06</v>
      </c>
      <c r="Q59" s="12">
        <v>15.86</v>
      </c>
      <c r="R59" s="12">
        <v>5.45</v>
      </c>
      <c r="S59" s="12">
        <v>1.24</v>
      </c>
      <c r="T59" s="12">
        <v>2.8</v>
      </c>
      <c r="U59" s="12">
        <v>6.36</v>
      </c>
      <c r="V59" s="12">
        <v>0.0</v>
      </c>
      <c r="W59" s="11">
        <v>68.54</v>
      </c>
      <c r="X59" s="11">
        <v>-11.28</v>
      </c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autoFilter ref="$A$1:$V$5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23.25"/>
  </cols>
  <sheetData>
    <row r="1" ht="22.5" customHeight="1">
      <c r="A1" s="15" t="s">
        <v>215</v>
      </c>
      <c r="B1" s="15" t="s">
        <v>216</v>
      </c>
    </row>
    <row r="2" ht="22.5" customHeight="1">
      <c r="A2" s="16" t="s">
        <v>46</v>
      </c>
      <c r="B2" s="17">
        <v>28.0</v>
      </c>
    </row>
    <row r="3" ht="22.5" customHeight="1">
      <c r="A3" s="16" t="s">
        <v>67</v>
      </c>
      <c r="B3" s="17">
        <v>16.0</v>
      </c>
    </row>
    <row r="4" ht="22.5" customHeight="1">
      <c r="A4" s="16" t="s">
        <v>38</v>
      </c>
      <c r="B4" s="17">
        <v>12.0</v>
      </c>
    </row>
    <row r="5" ht="22.5" customHeight="1">
      <c r="A5" s="16" t="s">
        <v>55</v>
      </c>
      <c r="B5" s="17">
        <v>12.0</v>
      </c>
    </row>
    <row r="6" ht="22.5" customHeight="1">
      <c r="A6" s="16" t="s">
        <v>63</v>
      </c>
      <c r="B6" s="17">
        <v>8.0</v>
      </c>
    </row>
    <row r="7" ht="22.5" customHeight="1">
      <c r="A7" s="16" t="s">
        <v>50</v>
      </c>
      <c r="B7" s="17">
        <v>8.0</v>
      </c>
    </row>
    <row r="8" ht="22.5" customHeight="1">
      <c r="A8" s="16" t="s">
        <v>33</v>
      </c>
      <c r="B8" s="17">
        <v>4.0</v>
      </c>
    </row>
    <row r="9" ht="22.5" customHeight="1">
      <c r="A9" s="16" t="s">
        <v>42</v>
      </c>
      <c r="B9" s="17">
        <v>4.0</v>
      </c>
    </row>
    <row r="10" ht="22.5" customHeight="1">
      <c r="A10" s="16" t="s">
        <v>95</v>
      </c>
      <c r="B10" s="17">
        <v>4.0</v>
      </c>
    </row>
    <row r="11" ht="22.5" customHeight="1">
      <c r="A11" s="16" t="s">
        <v>59</v>
      </c>
      <c r="B11" s="17">
        <v>4.0</v>
      </c>
    </row>
  </sheetData>
  <dataValidations>
    <dataValidation type="custom" allowBlank="1" showDropDown="1" sqref="B2:B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4" width="22.0"/>
    <col customWidth="1" min="5" max="25" width="14.0"/>
    <col customWidth="1" min="26" max="26" width="7.75"/>
    <col customWidth="1" min="27" max="27" width="11.63"/>
    <col customWidth="1" min="28" max="28" width="8.38"/>
  </cols>
  <sheetData>
    <row r="1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13</v>
      </c>
      <c r="G1" s="7" t="s">
        <v>12</v>
      </c>
      <c r="H1" s="7" t="s">
        <v>21</v>
      </c>
      <c r="I1" s="7" t="s">
        <v>217</v>
      </c>
      <c r="J1" s="7" t="s">
        <v>218</v>
      </c>
      <c r="K1" s="7" t="s">
        <v>22</v>
      </c>
      <c r="L1" s="7" t="s">
        <v>219</v>
      </c>
      <c r="M1" s="7" t="s">
        <v>220</v>
      </c>
      <c r="N1" s="7" t="s">
        <v>23</v>
      </c>
      <c r="O1" s="7" t="s">
        <v>221</v>
      </c>
      <c r="P1" s="7" t="s">
        <v>24</v>
      </c>
      <c r="Q1" s="7" t="s">
        <v>222</v>
      </c>
      <c r="R1" s="7" t="s">
        <v>223</v>
      </c>
      <c r="S1" s="7" t="s">
        <v>224</v>
      </c>
      <c r="T1" s="7" t="s">
        <v>25</v>
      </c>
      <c r="U1" s="7" t="s">
        <v>26</v>
      </c>
      <c r="V1" s="7" t="s">
        <v>225</v>
      </c>
      <c r="W1" s="7" t="s">
        <v>27</v>
      </c>
      <c r="X1" s="7" t="s">
        <v>29</v>
      </c>
      <c r="Y1" s="7" t="s">
        <v>28</v>
      </c>
      <c r="Z1" s="8" t="s">
        <v>30</v>
      </c>
      <c r="AA1" s="8" t="s">
        <v>14</v>
      </c>
      <c r="AB1" s="8" t="s">
        <v>20</v>
      </c>
    </row>
    <row r="2">
      <c r="A2" s="9">
        <v>1.0</v>
      </c>
      <c r="B2" s="9" t="s">
        <v>32</v>
      </c>
      <c r="C2" s="9" t="s">
        <v>33</v>
      </c>
      <c r="D2" s="10" t="s">
        <v>34</v>
      </c>
      <c r="E2" s="10" t="s">
        <v>35</v>
      </c>
      <c r="F2" s="9">
        <v>956.25</v>
      </c>
      <c r="G2" s="9">
        <v>17127.38</v>
      </c>
      <c r="H2" s="18">
        <v>11.0</v>
      </c>
      <c r="I2" s="9">
        <v>27.72</v>
      </c>
      <c r="J2" s="18">
        <v>0.3968253968253969</v>
      </c>
      <c r="K2" s="18">
        <v>1.98</v>
      </c>
      <c r="L2" s="9">
        <v>3.06</v>
      </c>
      <c r="M2" s="18">
        <v>0.6470588235294118</v>
      </c>
      <c r="N2" s="18">
        <v>6.86</v>
      </c>
      <c r="O2" s="18">
        <v>18.16</v>
      </c>
      <c r="P2" s="18">
        <v>12.85</v>
      </c>
      <c r="Q2" s="18">
        <v>32.78</v>
      </c>
      <c r="R2" s="18">
        <v>28.0</v>
      </c>
      <c r="S2" s="18">
        <v>8.0</v>
      </c>
      <c r="T2" s="18">
        <v>0.03</v>
      </c>
      <c r="U2" s="18">
        <v>52.46</v>
      </c>
      <c r="V2" s="18">
        <v>3.62</v>
      </c>
      <c r="W2" s="18">
        <v>5.43</v>
      </c>
      <c r="X2" s="18">
        <v>49.48</v>
      </c>
      <c r="Y2" s="18">
        <v>0.0</v>
      </c>
      <c r="Z2" s="19">
        <v>11.77</v>
      </c>
      <c r="AA2" s="20">
        <v>0.7873025109779949</v>
      </c>
      <c r="AB2" s="21" t="s">
        <v>36</v>
      </c>
    </row>
    <row r="3">
      <c r="A3" s="12">
        <v>2.0</v>
      </c>
      <c r="B3" s="12" t="s">
        <v>37</v>
      </c>
      <c r="C3" s="12" t="s">
        <v>38</v>
      </c>
      <c r="D3" s="13" t="s">
        <v>39</v>
      </c>
      <c r="E3" s="13" t="s">
        <v>40</v>
      </c>
      <c r="F3" s="12">
        <v>362.85</v>
      </c>
      <c r="G3" s="12">
        <v>66642.18</v>
      </c>
      <c r="H3" s="14">
        <v>10.85</v>
      </c>
      <c r="I3" s="12">
        <v>17.36</v>
      </c>
      <c r="J3" s="14">
        <v>0.625</v>
      </c>
      <c r="K3" s="14">
        <v>3.36</v>
      </c>
      <c r="L3" s="12">
        <v>1.92</v>
      </c>
      <c r="M3" s="14">
        <v>1.75</v>
      </c>
      <c r="N3" s="14">
        <v>6.63</v>
      </c>
      <c r="O3" s="14">
        <v>39.21</v>
      </c>
      <c r="P3" s="14">
        <v>14.02</v>
      </c>
      <c r="Q3" s="14">
        <v>43.96</v>
      </c>
      <c r="R3" s="14">
        <v>32.72</v>
      </c>
      <c r="S3" s="14">
        <v>9.0</v>
      </c>
      <c r="T3" s="14">
        <v>0.0</v>
      </c>
      <c r="U3" s="14">
        <v>76.71</v>
      </c>
      <c r="V3" s="14">
        <v>2.4</v>
      </c>
      <c r="W3" s="14">
        <v>7.54</v>
      </c>
      <c r="X3" s="14">
        <v>51.28</v>
      </c>
      <c r="Y3" s="14">
        <v>0.0</v>
      </c>
      <c r="Z3" s="19">
        <v>75.57</v>
      </c>
      <c r="AA3" s="20">
        <v>0.7863707352785528</v>
      </c>
      <c r="AB3" s="21" t="s">
        <v>36</v>
      </c>
    </row>
    <row r="4">
      <c r="A4" s="9">
        <v>3.0</v>
      </c>
      <c r="B4" s="9" t="s">
        <v>41</v>
      </c>
      <c r="C4" s="9" t="s">
        <v>42</v>
      </c>
      <c r="D4" s="10" t="s">
        <v>43</v>
      </c>
      <c r="E4" s="10" t="s">
        <v>44</v>
      </c>
      <c r="F4" s="9">
        <v>308.65</v>
      </c>
      <c r="G4" s="9">
        <v>46297.5</v>
      </c>
      <c r="H4" s="18">
        <v>12.73</v>
      </c>
      <c r="I4" s="9">
        <v>17.41</v>
      </c>
      <c r="J4" s="18">
        <v>0.7311889718552557</v>
      </c>
      <c r="K4" s="18">
        <v>2.19</v>
      </c>
      <c r="L4" s="9">
        <v>2.0</v>
      </c>
      <c r="M4" s="18">
        <v>1.095</v>
      </c>
      <c r="N4" s="18">
        <v>6.4</v>
      </c>
      <c r="O4" s="18">
        <v>16.47</v>
      </c>
      <c r="P4" s="18">
        <v>13.38</v>
      </c>
      <c r="Q4" s="18">
        <v>25.39</v>
      </c>
      <c r="R4" s="18">
        <v>21.16</v>
      </c>
      <c r="S4" s="18">
        <v>7.0</v>
      </c>
      <c r="T4" s="18">
        <v>0.12</v>
      </c>
      <c r="U4" s="18">
        <v>21.16</v>
      </c>
      <c r="V4" s="18">
        <v>3.69</v>
      </c>
      <c r="W4" s="18">
        <v>6.41</v>
      </c>
      <c r="X4" s="18">
        <v>50.0</v>
      </c>
      <c r="Y4" s="18">
        <v>0.0</v>
      </c>
      <c r="Z4" s="19">
        <v>12.48</v>
      </c>
      <c r="AA4" s="20">
        <v>0.7490359653639532</v>
      </c>
      <c r="AB4" s="21" t="s">
        <v>36</v>
      </c>
    </row>
    <row r="5">
      <c r="A5" s="12">
        <v>4.0</v>
      </c>
      <c r="B5" s="12" t="s">
        <v>45</v>
      </c>
      <c r="C5" s="12" t="s">
        <v>46</v>
      </c>
      <c r="D5" s="13" t="s">
        <v>47</v>
      </c>
      <c r="E5" s="13" t="s">
        <v>48</v>
      </c>
      <c r="F5" s="12">
        <v>531.2</v>
      </c>
      <c r="G5" s="12">
        <v>2308.2</v>
      </c>
      <c r="H5" s="14">
        <v>13.02</v>
      </c>
      <c r="I5" s="12">
        <v>26.33</v>
      </c>
      <c r="J5" s="14">
        <v>0.4944929737941512</v>
      </c>
      <c r="K5" s="14">
        <v>2.28</v>
      </c>
      <c r="L5" s="12">
        <v>1.63</v>
      </c>
      <c r="M5" s="14">
        <v>1.398773006134969</v>
      </c>
      <c r="N5" s="14">
        <v>8.34</v>
      </c>
      <c r="O5" s="14">
        <v>23.35</v>
      </c>
      <c r="P5" s="14">
        <v>10.69</v>
      </c>
      <c r="Q5" s="14">
        <v>20.67</v>
      </c>
      <c r="R5" s="14">
        <v>15.39</v>
      </c>
      <c r="S5" s="14">
        <v>9.0</v>
      </c>
      <c r="T5" s="14">
        <v>0.01</v>
      </c>
      <c r="U5" s="14">
        <v>199.9</v>
      </c>
      <c r="V5" s="14">
        <v>5.89</v>
      </c>
      <c r="W5" s="14">
        <v>6.68</v>
      </c>
      <c r="X5" s="14">
        <v>58.59</v>
      </c>
      <c r="Y5" s="14">
        <v>0.0</v>
      </c>
      <c r="Z5" s="19">
        <v>-1.49</v>
      </c>
      <c r="AA5" s="20">
        <v>0.7373736725939014</v>
      </c>
      <c r="AB5" s="21" t="s">
        <v>36</v>
      </c>
    </row>
    <row r="6">
      <c r="A6" s="9">
        <v>5.0</v>
      </c>
      <c r="B6" s="9" t="s">
        <v>49</v>
      </c>
      <c r="C6" s="9" t="s">
        <v>50</v>
      </c>
      <c r="D6" s="10" t="s">
        <v>51</v>
      </c>
      <c r="E6" s="10" t="s">
        <v>52</v>
      </c>
      <c r="F6" s="9">
        <v>1326.4</v>
      </c>
      <c r="G6" s="9">
        <v>18936.64</v>
      </c>
      <c r="H6" s="18">
        <v>8.37</v>
      </c>
      <c r="I6" s="9">
        <v>11.99</v>
      </c>
      <c r="J6" s="18">
        <v>0.6980817347789824</v>
      </c>
      <c r="K6" s="18">
        <v>1.24</v>
      </c>
      <c r="L6" s="9">
        <v>1.5</v>
      </c>
      <c r="M6" s="18">
        <v>0.8266666666666667</v>
      </c>
      <c r="N6" s="18">
        <v>4.32</v>
      </c>
      <c r="O6" s="18">
        <v>7.46</v>
      </c>
      <c r="P6" s="18">
        <v>17.24</v>
      </c>
      <c r="Q6" s="18">
        <v>13.86</v>
      </c>
      <c r="R6" s="18">
        <v>14.09</v>
      </c>
      <c r="S6" s="18">
        <v>7.0</v>
      </c>
      <c r="T6" s="18">
        <v>0.08</v>
      </c>
      <c r="U6" s="18">
        <v>15.5</v>
      </c>
      <c r="V6" s="18">
        <v>7.38</v>
      </c>
      <c r="W6" s="18">
        <v>4.22</v>
      </c>
      <c r="X6" s="18">
        <v>30.07</v>
      </c>
      <c r="Y6" s="18">
        <v>0.0</v>
      </c>
      <c r="Z6" s="19">
        <v>36.6</v>
      </c>
      <c r="AA6" s="20">
        <v>0.7296026032657481</v>
      </c>
      <c r="AB6" s="21" t="s">
        <v>53</v>
      </c>
    </row>
    <row r="7">
      <c r="A7" s="12">
        <v>6.0</v>
      </c>
      <c r="B7" s="12" t="s">
        <v>54</v>
      </c>
      <c r="C7" s="12" t="s">
        <v>55</v>
      </c>
      <c r="D7" s="13" t="s">
        <v>56</v>
      </c>
      <c r="E7" s="13" t="s">
        <v>57</v>
      </c>
      <c r="F7" s="12">
        <v>172.19</v>
      </c>
      <c r="G7" s="12">
        <v>8324.35</v>
      </c>
      <c r="H7" s="14">
        <v>18.89</v>
      </c>
      <c r="I7" s="12">
        <v>22.96</v>
      </c>
      <c r="J7" s="14">
        <v>0.8227351916376306</v>
      </c>
      <c r="K7" s="14">
        <v>3.83</v>
      </c>
      <c r="L7" s="12">
        <v>4.44</v>
      </c>
      <c r="M7" s="14">
        <v>0.8626126126126126</v>
      </c>
      <c r="N7" s="14">
        <v>10.23</v>
      </c>
      <c r="O7" s="14">
        <v>23.21</v>
      </c>
      <c r="P7" s="14">
        <v>8.1</v>
      </c>
      <c r="Q7" s="14">
        <v>24.89</v>
      </c>
      <c r="R7" s="14">
        <v>18.96</v>
      </c>
      <c r="S7" s="14">
        <v>9.0</v>
      </c>
      <c r="T7" s="14">
        <v>0.02</v>
      </c>
      <c r="U7" s="14">
        <v>81.83</v>
      </c>
      <c r="V7" s="14">
        <v>3.39</v>
      </c>
      <c r="W7" s="14">
        <v>7.56</v>
      </c>
      <c r="X7" s="14">
        <v>44.01</v>
      </c>
      <c r="Y7" s="14">
        <v>0.0</v>
      </c>
      <c r="Z7" s="19">
        <v>14.37</v>
      </c>
      <c r="AA7" s="20">
        <v>0.7192667199071614</v>
      </c>
      <c r="AB7" s="21" t="s">
        <v>36</v>
      </c>
    </row>
    <row r="8">
      <c r="A8" s="9">
        <v>7.0</v>
      </c>
      <c r="B8" s="9" t="s">
        <v>58</v>
      </c>
      <c r="C8" s="9" t="s">
        <v>59</v>
      </c>
      <c r="D8" s="10" t="s">
        <v>60</v>
      </c>
      <c r="E8" s="10" t="s">
        <v>61</v>
      </c>
      <c r="F8" s="9">
        <v>448.55</v>
      </c>
      <c r="G8" s="9">
        <v>118334.79</v>
      </c>
      <c r="H8" s="18">
        <v>16.59</v>
      </c>
      <c r="I8" s="9">
        <v>16.9</v>
      </c>
      <c r="J8" s="18">
        <v>0.9816568047337279</v>
      </c>
      <c r="K8" s="18">
        <v>3.28</v>
      </c>
      <c r="L8" s="9">
        <v>2.64</v>
      </c>
      <c r="M8" s="18">
        <v>1.242424242424242</v>
      </c>
      <c r="N8" s="18">
        <v>7.55</v>
      </c>
      <c r="O8" s="18">
        <v>16.7</v>
      </c>
      <c r="P8" s="18">
        <v>8.16</v>
      </c>
      <c r="Q8" s="18">
        <v>28.99</v>
      </c>
      <c r="R8" s="18">
        <v>32.5</v>
      </c>
      <c r="S8" s="18">
        <v>8.0</v>
      </c>
      <c r="T8" s="18">
        <v>0.58</v>
      </c>
      <c r="U8" s="18">
        <v>6.82</v>
      </c>
      <c r="V8" s="18">
        <v>1.45</v>
      </c>
      <c r="W8" s="18">
        <v>4.68</v>
      </c>
      <c r="X8" s="18">
        <v>51.03</v>
      </c>
      <c r="Y8" s="18">
        <v>0.0</v>
      </c>
      <c r="Z8" s="19">
        <v>38.42</v>
      </c>
      <c r="AA8" s="20">
        <v>0.6727185990280311</v>
      </c>
      <c r="AB8" s="21" t="s">
        <v>36</v>
      </c>
    </row>
    <row r="9">
      <c r="A9" s="12">
        <v>8.0</v>
      </c>
      <c r="B9" s="12" t="s">
        <v>62</v>
      </c>
      <c r="C9" s="12" t="s">
        <v>63</v>
      </c>
      <c r="D9" s="13" t="s">
        <v>64</v>
      </c>
      <c r="E9" s="13" t="s">
        <v>65</v>
      </c>
      <c r="F9" s="12">
        <v>576.75</v>
      </c>
      <c r="G9" s="12">
        <v>16322.1</v>
      </c>
      <c r="H9" s="14">
        <v>18.24</v>
      </c>
      <c r="I9" s="12">
        <v>28.05</v>
      </c>
      <c r="J9" s="14">
        <v>0.6502673796791443</v>
      </c>
      <c r="K9" s="14">
        <v>2.01</v>
      </c>
      <c r="L9" s="12">
        <v>1.96</v>
      </c>
      <c r="M9" s="14">
        <v>1.025510204081633</v>
      </c>
      <c r="N9" s="14">
        <v>8.49</v>
      </c>
      <c r="O9" s="14">
        <v>8.99</v>
      </c>
      <c r="P9" s="14">
        <v>9.36</v>
      </c>
      <c r="Q9" s="14">
        <v>17.17</v>
      </c>
      <c r="R9" s="14">
        <v>15.03</v>
      </c>
      <c r="S9" s="14">
        <v>8.0</v>
      </c>
      <c r="T9" s="14">
        <v>0.2</v>
      </c>
      <c r="U9" s="14">
        <v>157.35</v>
      </c>
      <c r="V9" s="14">
        <v>6.58</v>
      </c>
      <c r="W9" s="14">
        <v>4.11</v>
      </c>
      <c r="X9" s="14">
        <v>50.1</v>
      </c>
      <c r="Y9" s="14">
        <v>0.0</v>
      </c>
      <c r="Z9" s="19">
        <v>-15.38</v>
      </c>
      <c r="AA9" s="20">
        <v>0.6424205046422864</v>
      </c>
      <c r="AB9" s="21" t="s">
        <v>53</v>
      </c>
    </row>
    <row r="10">
      <c r="A10" s="9">
        <v>9.0</v>
      </c>
      <c r="B10" s="9" t="s">
        <v>66</v>
      </c>
      <c r="C10" s="9" t="s">
        <v>67</v>
      </c>
      <c r="D10" s="10" t="s">
        <v>68</v>
      </c>
      <c r="E10" s="10" t="s">
        <v>69</v>
      </c>
      <c r="F10" s="9">
        <v>40.46</v>
      </c>
      <c r="G10" s="9">
        <v>942.07</v>
      </c>
      <c r="H10" s="18">
        <v>10.89</v>
      </c>
      <c r="I10" s="9">
        <v>17.76</v>
      </c>
      <c r="J10" s="18">
        <v>0.6131756756756757</v>
      </c>
      <c r="K10" s="18">
        <v>3.08</v>
      </c>
      <c r="L10" s="9">
        <v>1.5</v>
      </c>
      <c r="M10" s="18">
        <v>2.053333333333333</v>
      </c>
      <c r="N10" s="18">
        <v>8.18</v>
      </c>
      <c r="O10" s="18">
        <v>-42.92</v>
      </c>
      <c r="P10" s="18">
        <v>11.91</v>
      </c>
      <c r="Q10" s="18">
        <v>30.47</v>
      </c>
      <c r="R10" s="18">
        <v>27.48</v>
      </c>
      <c r="S10" s="18">
        <v>6.0</v>
      </c>
      <c r="T10" s="18">
        <v>0.04</v>
      </c>
      <c r="U10" s="18">
        <v>69.85</v>
      </c>
      <c r="V10" s="18">
        <v>1.74</v>
      </c>
      <c r="W10" s="18">
        <v>6.59</v>
      </c>
      <c r="X10" s="18">
        <v>53.81</v>
      </c>
      <c r="Y10" s="18">
        <v>0.0</v>
      </c>
      <c r="Z10" s="19">
        <v>121.46</v>
      </c>
      <c r="AA10" s="20">
        <v>0.6406473600304674</v>
      </c>
      <c r="AB10" s="21" t="s">
        <v>53</v>
      </c>
    </row>
    <row r="11">
      <c r="A11" s="12">
        <v>10.0</v>
      </c>
      <c r="B11" s="12" t="s">
        <v>70</v>
      </c>
      <c r="C11" s="12" t="s">
        <v>67</v>
      </c>
      <c r="D11" s="13" t="s">
        <v>71</v>
      </c>
      <c r="E11" s="13" t="s">
        <v>72</v>
      </c>
      <c r="F11" s="12">
        <v>111.0</v>
      </c>
      <c r="G11" s="12">
        <v>1410.5</v>
      </c>
      <c r="H11" s="14">
        <v>11.46</v>
      </c>
      <c r="I11" s="12">
        <v>21.77</v>
      </c>
      <c r="J11" s="14">
        <v>0.5264124942581535</v>
      </c>
      <c r="K11" s="14">
        <v>1.34</v>
      </c>
      <c r="L11" s="12">
        <v>1.6</v>
      </c>
      <c r="M11" s="14">
        <v>0.8375</v>
      </c>
      <c r="N11" s="14">
        <v>6.23</v>
      </c>
      <c r="O11" s="14">
        <v>25.84</v>
      </c>
      <c r="P11" s="14">
        <v>11.11</v>
      </c>
      <c r="Q11" s="14">
        <v>12.04</v>
      </c>
      <c r="R11" s="14">
        <v>12.35</v>
      </c>
      <c r="S11" s="14">
        <v>9.0</v>
      </c>
      <c r="T11" s="14">
        <v>0.48</v>
      </c>
      <c r="U11" s="14">
        <v>4.79</v>
      </c>
      <c r="V11" s="14">
        <v>1.6</v>
      </c>
      <c r="W11" s="14">
        <v>4.27</v>
      </c>
      <c r="X11" s="14">
        <v>74.36</v>
      </c>
      <c r="Y11" s="14">
        <v>0.0</v>
      </c>
      <c r="Z11" s="19">
        <v>0.33</v>
      </c>
      <c r="AA11" s="20">
        <v>0.6292902879744046</v>
      </c>
      <c r="AB11" s="21" t="s">
        <v>53</v>
      </c>
    </row>
    <row r="12">
      <c r="A12" s="9">
        <v>11.0</v>
      </c>
      <c r="B12" s="9" t="s">
        <v>73</v>
      </c>
      <c r="C12" s="9" t="s">
        <v>46</v>
      </c>
      <c r="D12" s="10" t="s">
        <v>74</v>
      </c>
      <c r="E12" s="10" t="s">
        <v>75</v>
      </c>
      <c r="F12" s="9">
        <v>5591.5</v>
      </c>
      <c r="G12" s="9">
        <v>111880.2</v>
      </c>
      <c r="H12" s="18">
        <v>20.22</v>
      </c>
      <c r="I12" s="9">
        <v>30.56</v>
      </c>
      <c r="J12" s="18">
        <v>0.6616492146596858</v>
      </c>
      <c r="K12" s="18">
        <v>5.33</v>
      </c>
      <c r="L12" s="9">
        <v>6.87</v>
      </c>
      <c r="M12" s="18">
        <v>0.7758369723435226</v>
      </c>
      <c r="N12" s="18">
        <v>13.7</v>
      </c>
      <c r="O12" s="18">
        <v>34.74</v>
      </c>
      <c r="P12" s="18">
        <v>6.55</v>
      </c>
      <c r="Q12" s="18">
        <v>30.34</v>
      </c>
      <c r="R12" s="18">
        <v>23.06</v>
      </c>
      <c r="S12" s="18">
        <v>8.0</v>
      </c>
      <c r="T12" s="18">
        <v>0.03</v>
      </c>
      <c r="U12" s="18">
        <v>96.17</v>
      </c>
      <c r="V12" s="18">
        <v>1.62</v>
      </c>
      <c r="W12" s="18">
        <v>8.8</v>
      </c>
      <c r="X12" s="18">
        <v>34.73</v>
      </c>
      <c r="Y12" s="18">
        <v>0.0</v>
      </c>
      <c r="Z12" s="19">
        <v>4.49</v>
      </c>
      <c r="AA12" s="20">
        <v>0.6199659685492839</v>
      </c>
      <c r="AB12" s="21" t="s">
        <v>36</v>
      </c>
    </row>
    <row r="13">
      <c r="A13" s="12">
        <v>12.0</v>
      </c>
      <c r="B13" s="12" t="s">
        <v>76</v>
      </c>
      <c r="C13" s="12" t="s">
        <v>46</v>
      </c>
      <c r="D13" s="13" t="s">
        <v>77</v>
      </c>
      <c r="E13" s="13" t="s">
        <v>78</v>
      </c>
      <c r="F13" s="12">
        <v>373.55</v>
      </c>
      <c r="G13" s="12">
        <v>995.33</v>
      </c>
      <c r="H13" s="14">
        <v>17.06</v>
      </c>
      <c r="I13" s="12">
        <v>21.77</v>
      </c>
      <c r="J13" s="14">
        <v>0.7836472209462563</v>
      </c>
      <c r="K13" s="14">
        <v>4.05</v>
      </c>
      <c r="L13" s="12">
        <v>1.6</v>
      </c>
      <c r="M13" s="14">
        <v>2.53125</v>
      </c>
      <c r="N13" s="14">
        <v>11.45</v>
      </c>
      <c r="O13" s="14">
        <v>-117.17</v>
      </c>
      <c r="P13" s="14">
        <v>7.24</v>
      </c>
      <c r="Q13" s="14">
        <v>41.21</v>
      </c>
      <c r="R13" s="14">
        <v>60.33</v>
      </c>
      <c r="S13" s="14">
        <v>7.0</v>
      </c>
      <c r="T13" s="14">
        <v>0.18</v>
      </c>
      <c r="U13" s="14">
        <v>19.58</v>
      </c>
      <c r="V13" s="14">
        <v>2.68</v>
      </c>
      <c r="W13" s="14">
        <v>8.49</v>
      </c>
      <c r="X13" s="14">
        <v>65.24</v>
      </c>
      <c r="Y13" s="14">
        <v>0.0</v>
      </c>
      <c r="Z13" s="19">
        <v>75.67</v>
      </c>
      <c r="AA13" s="20">
        <v>0.6153775260937153</v>
      </c>
      <c r="AB13" s="21" t="s">
        <v>36</v>
      </c>
    </row>
    <row r="14">
      <c r="A14" s="9">
        <v>13.0</v>
      </c>
      <c r="B14" s="9" t="s">
        <v>79</v>
      </c>
      <c r="C14" s="9" t="s">
        <v>38</v>
      </c>
      <c r="D14" s="10" t="s">
        <v>80</v>
      </c>
      <c r="E14" s="10" t="s">
        <v>81</v>
      </c>
      <c r="F14" s="9">
        <v>940.0</v>
      </c>
      <c r="G14" s="9">
        <v>211239.29</v>
      </c>
      <c r="H14" s="18">
        <v>12.19</v>
      </c>
      <c r="I14" s="9">
        <v>17.36</v>
      </c>
      <c r="J14" s="18">
        <v>0.7021889400921659</v>
      </c>
      <c r="K14" s="18">
        <v>1.57</v>
      </c>
      <c r="L14" s="9">
        <v>1.92</v>
      </c>
      <c r="M14" s="18">
        <v>0.8177083333333334</v>
      </c>
      <c r="N14" s="18">
        <v>7.55</v>
      </c>
      <c r="O14" s="18">
        <v>28.86</v>
      </c>
      <c r="P14" s="18">
        <v>10.11</v>
      </c>
      <c r="Q14" s="18">
        <v>14.8</v>
      </c>
      <c r="R14" s="18">
        <v>14.02</v>
      </c>
      <c r="S14" s="18">
        <v>8.0</v>
      </c>
      <c r="T14" s="18">
        <v>0.56</v>
      </c>
      <c r="U14" s="18">
        <v>8.36</v>
      </c>
      <c r="V14" s="18">
        <v>0.71</v>
      </c>
      <c r="W14" s="18">
        <v>3.12</v>
      </c>
      <c r="X14" s="18">
        <v>34.64</v>
      </c>
      <c r="Y14" s="18">
        <v>0.0</v>
      </c>
      <c r="Z14" s="19">
        <v>27.19</v>
      </c>
      <c r="AA14" s="20">
        <v>0.6090656420020412</v>
      </c>
      <c r="AB14" s="21" t="s">
        <v>53</v>
      </c>
    </row>
    <row r="15">
      <c r="A15" s="12">
        <v>14.0</v>
      </c>
      <c r="B15" s="12" t="s">
        <v>82</v>
      </c>
      <c r="C15" s="12" t="s">
        <v>50</v>
      </c>
      <c r="D15" s="13" t="s">
        <v>83</v>
      </c>
      <c r="E15" s="13" t="s">
        <v>84</v>
      </c>
      <c r="F15" s="12">
        <v>232.25</v>
      </c>
      <c r="G15" s="12">
        <v>544.18</v>
      </c>
      <c r="H15" s="14">
        <v>20.1</v>
      </c>
      <c r="I15" s="12">
        <v>22.49</v>
      </c>
      <c r="J15" s="14">
        <v>0.8937305469097377</v>
      </c>
      <c r="K15" s="14">
        <v>3.2</v>
      </c>
      <c r="L15" s="12">
        <v>2.72</v>
      </c>
      <c r="M15" s="14">
        <v>1.176470588235294</v>
      </c>
      <c r="N15" s="14">
        <v>13.0</v>
      </c>
      <c r="O15" s="14">
        <v>35.08</v>
      </c>
      <c r="P15" s="14">
        <v>7.33</v>
      </c>
      <c r="Q15" s="14">
        <v>24.38</v>
      </c>
      <c r="R15" s="14">
        <v>18.55</v>
      </c>
      <c r="S15" s="14">
        <v>6.0</v>
      </c>
      <c r="T15" s="14">
        <v>0.0</v>
      </c>
      <c r="U15" s="14">
        <v>44.46</v>
      </c>
      <c r="V15" s="14">
        <v>11.18</v>
      </c>
      <c r="W15" s="14">
        <v>8.17</v>
      </c>
      <c r="X15" s="14">
        <v>68.68</v>
      </c>
      <c r="Y15" s="14">
        <v>0.0</v>
      </c>
      <c r="Z15" s="19">
        <v>7.62</v>
      </c>
      <c r="AA15" s="20">
        <v>0.6046052429529291</v>
      </c>
      <c r="AB15" s="21" t="s">
        <v>36</v>
      </c>
    </row>
    <row r="16">
      <c r="A16" s="9">
        <v>15.0</v>
      </c>
      <c r="B16" s="9" t="s">
        <v>85</v>
      </c>
      <c r="C16" s="9" t="s">
        <v>46</v>
      </c>
      <c r="D16" s="10" t="s">
        <v>86</v>
      </c>
      <c r="E16" s="10" t="s">
        <v>87</v>
      </c>
      <c r="F16" s="9">
        <v>376.7</v>
      </c>
      <c r="G16" s="9">
        <v>2117.81</v>
      </c>
      <c r="H16" s="18">
        <v>12.71</v>
      </c>
      <c r="I16" s="9">
        <v>21.77</v>
      </c>
      <c r="J16" s="18">
        <v>0.5838309600367478</v>
      </c>
      <c r="K16" s="18">
        <v>1.55</v>
      </c>
      <c r="L16" s="9">
        <v>1.6</v>
      </c>
      <c r="M16" s="18">
        <v>0.96875</v>
      </c>
      <c r="N16" s="18">
        <v>6.77</v>
      </c>
      <c r="O16" s="18">
        <v>-29.36</v>
      </c>
      <c r="P16" s="18">
        <v>9.88</v>
      </c>
      <c r="Q16" s="18">
        <v>13.19</v>
      </c>
      <c r="R16" s="18">
        <v>14.28</v>
      </c>
      <c r="S16" s="18">
        <v>9.0</v>
      </c>
      <c r="T16" s="18">
        <v>0.67</v>
      </c>
      <c r="U16" s="18">
        <v>3.96</v>
      </c>
      <c r="V16" s="18">
        <v>0.98</v>
      </c>
      <c r="W16" s="18">
        <v>3.94</v>
      </c>
      <c r="X16" s="18">
        <v>56.71</v>
      </c>
      <c r="Y16" s="18">
        <v>0.0</v>
      </c>
      <c r="Z16" s="19">
        <v>12.84</v>
      </c>
      <c r="AA16" s="20">
        <v>0.5987632418501249</v>
      </c>
      <c r="AB16" s="21" t="s">
        <v>53</v>
      </c>
    </row>
    <row r="17">
      <c r="A17" s="12">
        <v>16.0</v>
      </c>
      <c r="B17" s="12" t="s">
        <v>88</v>
      </c>
      <c r="C17" s="12" t="s">
        <v>46</v>
      </c>
      <c r="D17" s="13" t="s">
        <v>89</v>
      </c>
      <c r="E17" s="13" t="s">
        <v>90</v>
      </c>
      <c r="F17" s="12">
        <v>876.6</v>
      </c>
      <c r="G17" s="12">
        <v>2141.8</v>
      </c>
      <c r="H17" s="14">
        <v>17.52</v>
      </c>
      <c r="I17" s="12">
        <v>27.29</v>
      </c>
      <c r="J17" s="14">
        <v>0.6419934041773544</v>
      </c>
      <c r="K17" s="14">
        <v>2.36</v>
      </c>
      <c r="L17" s="12">
        <v>3.26</v>
      </c>
      <c r="M17" s="14">
        <v>0.7239263803680982</v>
      </c>
      <c r="N17" s="14">
        <v>7.55</v>
      </c>
      <c r="O17" s="14">
        <v>11.99</v>
      </c>
      <c r="P17" s="14">
        <v>9.74</v>
      </c>
      <c r="Q17" s="14">
        <v>16.14</v>
      </c>
      <c r="R17" s="14">
        <v>12.71</v>
      </c>
      <c r="S17" s="14">
        <v>7.0</v>
      </c>
      <c r="T17" s="14">
        <v>0.79</v>
      </c>
      <c r="U17" s="14">
        <v>2.45</v>
      </c>
      <c r="V17" s="14">
        <v>0.5</v>
      </c>
      <c r="W17" s="14">
        <v>3.32</v>
      </c>
      <c r="X17" s="14">
        <v>58.31</v>
      </c>
      <c r="Y17" s="14">
        <v>0.0</v>
      </c>
      <c r="Z17" s="19">
        <v>18.9</v>
      </c>
      <c r="AA17" s="20">
        <v>0.5856673210505515</v>
      </c>
      <c r="AB17" s="21" t="s">
        <v>53</v>
      </c>
    </row>
    <row r="18">
      <c r="A18" s="9">
        <v>17.0</v>
      </c>
      <c r="B18" s="9" t="s">
        <v>91</v>
      </c>
      <c r="C18" s="9" t="s">
        <v>38</v>
      </c>
      <c r="D18" s="10" t="s">
        <v>92</v>
      </c>
      <c r="E18" s="10" t="s">
        <v>93</v>
      </c>
      <c r="F18" s="9">
        <v>617.65</v>
      </c>
      <c r="G18" s="9">
        <v>260976.83</v>
      </c>
      <c r="H18" s="18">
        <v>22.36</v>
      </c>
      <c r="I18" s="9">
        <v>44.52</v>
      </c>
      <c r="J18" s="18">
        <v>0.5022461814914645</v>
      </c>
      <c r="K18" s="18">
        <v>19.17</v>
      </c>
      <c r="L18" s="9">
        <v>15.81</v>
      </c>
      <c r="M18" s="18">
        <v>1.212523719165086</v>
      </c>
      <c r="N18" s="18">
        <v>13.55</v>
      </c>
      <c r="O18" s="18">
        <v>24.96</v>
      </c>
      <c r="P18" s="18">
        <v>6.0</v>
      </c>
      <c r="Q18" s="18">
        <v>60.73</v>
      </c>
      <c r="R18" s="18">
        <v>72.42</v>
      </c>
      <c r="S18" s="18">
        <v>7.0</v>
      </c>
      <c r="T18" s="18">
        <v>0.82</v>
      </c>
      <c r="U18" s="18">
        <v>17.29</v>
      </c>
      <c r="V18" s="18">
        <v>0.69</v>
      </c>
      <c r="W18" s="18">
        <v>14.79</v>
      </c>
      <c r="X18" s="18">
        <v>61.84</v>
      </c>
      <c r="Y18" s="18">
        <v>9.27</v>
      </c>
      <c r="Z18" s="19">
        <v>41.16</v>
      </c>
      <c r="AA18" s="20">
        <v>0.5855176815158893</v>
      </c>
      <c r="AB18" s="21" t="s">
        <v>36</v>
      </c>
    </row>
    <row r="19">
      <c r="A19" s="12">
        <v>18.0</v>
      </c>
      <c r="B19" s="12" t="s">
        <v>94</v>
      </c>
      <c r="C19" s="12" t="s">
        <v>95</v>
      </c>
      <c r="D19" s="13" t="s">
        <v>96</v>
      </c>
      <c r="E19" s="13" t="s">
        <v>97</v>
      </c>
      <c r="F19" s="12">
        <v>163.78</v>
      </c>
      <c r="G19" s="12">
        <v>862.47</v>
      </c>
      <c r="H19" s="14">
        <v>11.14</v>
      </c>
      <c r="I19" s="12">
        <v>11.14</v>
      </c>
      <c r="J19" s="14">
        <v>1.0</v>
      </c>
      <c r="K19" s="14">
        <v>2.55</v>
      </c>
      <c r="L19" s="12">
        <v>1.49</v>
      </c>
      <c r="M19" s="14">
        <v>1.711409395973154</v>
      </c>
      <c r="N19" s="14">
        <v>6.77</v>
      </c>
      <c r="O19" s="14">
        <v>23.14</v>
      </c>
      <c r="P19" s="14">
        <v>13.03</v>
      </c>
      <c r="Q19" s="14">
        <v>13.07</v>
      </c>
      <c r="R19" s="14">
        <v>11.8</v>
      </c>
      <c r="S19" s="14">
        <v>6.0</v>
      </c>
      <c r="T19" s="14">
        <v>0.51</v>
      </c>
      <c r="U19" s="14">
        <v>8.82</v>
      </c>
      <c r="V19" s="14">
        <v>1.49</v>
      </c>
      <c r="W19" s="14">
        <v>5.49</v>
      </c>
      <c r="X19" s="14">
        <v>57.43</v>
      </c>
      <c r="Y19" s="14">
        <v>0.0</v>
      </c>
      <c r="Z19" s="19">
        <v>-9.2</v>
      </c>
      <c r="AA19" s="20">
        <v>0.5667658378606129</v>
      </c>
      <c r="AB19" s="21" t="s">
        <v>53</v>
      </c>
    </row>
    <row r="20">
      <c r="A20" s="9">
        <v>19.0</v>
      </c>
      <c r="B20" s="9" t="s">
        <v>98</v>
      </c>
      <c r="C20" s="9" t="s">
        <v>67</v>
      </c>
      <c r="D20" s="10" t="s">
        <v>99</v>
      </c>
      <c r="E20" s="10" t="s">
        <v>100</v>
      </c>
      <c r="F20" s="9">
        <v>891.95</v>
      </c>
      <c r="G20" s="9">
        <v>2765.4</v>
      </c>
      <c r="H20" s="18">
        <v>24.27</v>
      </c>
      <c r="I20" s="9">
        <v>24.27</v>
      </c>
      <c r="J20" s="18">
        <v>1.0</v>
      </c>
      <c r="K20" s="18">
        <v>3.41</v>
      </c>
      <c r="L20" s="9">
        <v>2.28</v>
      </c>
      <c r="M20" s="18">
        <v>1.495614035087719</v>
      </c>
      <c r="N20" s="18">
        <v>12.08</v>
      </c>
      <c r="O20" s="18">
        <v>23.84</v>
      </c>
      <c r="P20" s="18">
        <v>6.61</v>
      </c>
      <c r="Q20" s="18">
        <v>28.38</v>
      </c>
      <c r="R20" s="18">
        <v>27.37</v>
      </c>
      <c r="S20" s="18">
        <v>8.0</v>
      </c>
      <c r="T20" s="18">
        <v>0.34</v>
      </c>
      <c r="U20" s="18">
        <v>5.52</v>
      </c>
      <c r="V20" s="18">
        <v>1.59</v>
      </c>
      <c r="W20" s="18">
        <v>5.51</v>
      </c>
      <c r="X20" s="18">
        <v>56.66</v>
      </c>
      <c r="Y20" s="18">
        <v>0.0</v>
      </c>
      <c r="Z20" s="19">
        <v>14.74</v>
      </c>
      <c r="AA20" s="20">
        <v>0.5606949442462152</v>
      </c>
      <c r="AB20" s="21" t="s">
        <v>36</v>
      </c>
    </row>
    <row r="21" ht="15.75" customHeight="1">
      <c r="A21" s="12">
        <v>20.0</v>
      </c>
      <c r="B21" s="12" t="s">
        <v>101</v>
      </c>
      <c r="C21" s="12" t="s">
        <v>46</v>
      </c>
      <c r="D21" s="13" t="s">
        <v>102</v>
      </c>
      <c r="E21" s="13" t="s">
        <v>103</v>
      </c>
      <c r="F21" s="12">
        <v>220.52</v>
      </c>
      <c r="G21" s="12">
        <v>3683.78</v>
      </c>
      <c r="H21" s="14">
        <v>17.62</v>
      </c>
      <c r="I21" s="12">
        <v>22.72</v>
      </c>
      <c r="J21" s="14">
        <v>0.7755281690140846</v>
      </c>
      <c r="K21" s="14">
        <v>2.55</v>
      </c>
      <c r="L21" s="12">
        <v>2.83</v>
      </c>
      <c r="M21" s="14">
        <v>0.901060070671378</v>
      </c>
      <c r="N21" s="14">
        <v>10.09</v>
      </c>
      <c r="O21" s="14">
        <v>24.04</v>
      </c>
      <c r="P21" s="14">
        <v>7.25</v>
      </c>
      <c r="Q21" s="14">
        <v>14.03</v>
      </c>
      <c r="R21" s="14">
        <v>11.72</v>
      </c>
      <c r="S21" s="14">
        <v>7.0</v>
      </c>
      <c r="T21" s="14">
        <v>0.16</v>
      </c>
      <c r="U21" s="14">
        <v>18.93</v>
      </c>
      <c r="V21" s="14">
        <v>1.17</v>
      </c>
      <c r="W21" s="14">
        <v>6.3</v>
      </c>
      <c r="X21" s="14">
        <v>57.11</v>
      </c>
      <c r="Y21" s="14">
        <v>0.0</v>
      </c>
      <c r="Z21" s="19">
        <v>0.15</v>
      </c>
      <c r="AA21" s="20">
        <v>0.5539733217132088</v>
      </c>
      <c r="AB21" s="21" t="s">
        <v>53</v>
      </c>
    </row>
    <row r="22" ht="15.75" customHeight="1">
      <c r="A22" s="9">
        <v>21.0</v>
      </c>
      <c r="B22" s="9" t="s">
        <v>104</v>
      </c>
      <c r="C22" s="9" t="s">
        <v>46</v>
      </c>
      <c r="D22" s="10" t="s">
        <v>105</v>
      </c>
      <c r="E22" s="10" t="s">
        <v>106</v>
      </c>
      <c r="F22" s="9">
        <v>2175.5</v>
      </c>
      <c r="G22" s="9">
        <v>5725.84</v>
      </c>
      <c r="H22" s="18">
        <v>23.8</v>
      </c>
      <c r="I22" s="9">
        <v>27.29</v>
      </c>
      <c r="J22" s="18">
        <v>0.8721143275925248</v>
      </c>
      <c r="K22" s="18">
        <v>5.3</v>
      </c>
      <c r="L22" s="9">
        <v>3.26</v>
      </c>
      <c r="M22" s="18">
        <v>1.625766871165644</v>
      </c>
      <c r="N22" s="18">
        <v>14.03</v>
      </c>
      <c r="O22" s="18">
        <v>66.39</v>
      </c>
      <c r="P22" s="18">
        <v>5.83</v>
      </c>
      <c r="Q22" s="18">
        <v>27.8</v>
      </c>
      <c r="R22" s="18">
        <v>20.99</v>
      </c>
      <c r="S22" s="18">
        <v>9.0</v>
      </c>
      <c r="T22" s="18">
        <v>0.06</v>
      </c>
      <c r="U22" s="18">
        <v>214.57</v>
      </c>
      <c r="V22" s="18">
        <v>1.75</v>
      </c>
      <c r="W22" s="18">
        <v>9.63</v>
      </c>
      <c r="X22" s="18">
        <v>54.52</v>
      </c>
      <c r="Y22" s="18">
        <v>0.0</v>
      </c>
      <c r="Z22" s="19">
        <v>0.0</v>
      </c>
      <c r="AA22" s="20">
        <v>0.5525962439892825</v>
      </c>
      <c r="AB22" s="21" t="s">
        <v>36</v>
      </c>
    </row>
    <row r="23" ht="15.75" customHeight="1">
      <c r="A23" s="12">
        <v>22.0</v>
      </c>
      <c r="B23" s="12" t="s">
        <v>107</v>
      </c>
      <c r="C23" s="12" t="s">
        <v>55</v>
      </c>
      <c r="D23" s="13" t="s">
        <v>108</v>
      </c>
      <c r="E23" s="13" t="s">
        <v>109</v>
      </c>
      <c r="F23" s="12">
        <v>422.8</v>
      </c>
      <c r="G23" s="12">
        <v>1040.42</v>
      </c>
      <c r="H23" s="14">
        <v>24.67</v>
      </c>
      <c r="I23" s="12">
        <v>27.52</v>
      </c>
      <c r="J23" s="14">
        <v>0.8964389534883722</v>
      </c>
      <c r="K23" s="14">
        <v>5.89</v>
      </c>
      <c r="L23" s="12">
        <v>3.29</v>
      </c>
      <c r="M23" s="14">
        <v>1.790273556231003</v>
      </c>
      <c r="N23" s="14">
        <v>16.74</v>
      </c>
      <c r="O23" s="14">
        <v>29.67</v>
      </c>
      <c r="P23" s="14">
        <v>5.59</v>
      </c>
      <c r="Q23" s="14">
        <v>34.92</v>
      </c>
      <c r="R23" s="14">
        <v>26.89</v>
      </c>
      <c r="S23" s="14">
        <v>8.0</v>
      </c>
      <c r="T23" s="14">
        <v>0.04</v>
      </c>
      <c r="U23" s="14">
        <v>111.82</v>
      </c>
      <c r="V23" s="14">
        <v>0.76</v>
      </c>
      <c r="W23" s="14">
        <v>9.03</v>
      </c>
      <c r="X23" s="14">
        <v>62.45</v>
      </c>
      <c r="Y23" s="14">
        <v>0.0</v>
      </c>
      <c r="Z23" s="19">
        <v>4.43</v>
      </c>
      <c r="AA23" s="20">
        <v>0.5497627205378846</v>
      </c>
      <c r="AB23" s="21" t="s">
        <v>36</v>
      </c>
    </row>
    <row r="24" ht="15.75" customHeight="1">
      <c r="A24" s="9">
        <v>23.0</v>
      </c>
      <c r="B24" s="9" t="s">
        <v>110</v>
      </c>
      <c r="C24" s="9" t="s">
        <v>55</v>
      </c>
      <c r="D24" s="10" t="s">
        <v>111</v>
      </c>
      <c r="E24" s="10" t="s">
        <v>112</v>
      </c>
      <c r="F24" s="9">
        <v>212.47</v>
      </c>
      <c r="G24" s="9">
        <v>11941.71</v>
      </c>
      <c r="H24" s="18">
        <v>15.39</v>
      </c>
      <c r="I24" s="9">
        <v>15.31</v>
      </c>
      <c r="J24" s="18">
        <v>1.005225342913129</v>
      </c>
      <c r="K24" s="18">
        <v>4.41</v>
      </c>
      <c r="L24" s="9">
        <v>1.89</v>
      </c>
      <c r="M24" s="18">
        <v>2.333333333333333</v>
      </c>
      <c r="N24" s="18">
        <v>10.57</v>
      </c>
      <c r="O24" s="18">
        <v>328.25</v>
      </c>
      <c r="P24" s="18">
        <v>9.08</v>
      </c>
      <c r="Q24" s="18">
        <v>25.01</v>
      </c>
      <c r="R24" s="18">
        <v>23.17</v>
      </c>
      <c r="S24" s="18">
        <v>7.0</v>
      </c>
      <c r="T24" s="18">
        <v>0.01</v>
      </c>
      <c r="U24" s="18">
        <v>428.28</v>
      </c>
      <c r="V24" s="18">
        <v>1.17</v>
      </c>
      <c r="W24" s="18">
        <v>5.62</v>
      </c>
      <c r="X24" s="18">
        <v>51.32</v>
      </c>
      <c r="Y24" s="18">
        <v>0.0</v>
      </c>
      <c r="Z24" s="19">
        <v>6.44</v>
      </c>
      <c r="AA24" s="20">
        <v>0.5452338982062124</v>
      </c>
      <c r="AB24" s="21" t="s">
        <v>53</v>
      </c>
    </row>
    <row r="25" ht="15.75" customHeight="1">
      <c r="A25" s="12">
        <v>24.0</v>
      </c>
      <c r="B25" s="12" t="s">
        <v>113</v>
      </c>
      <c r="C25" s="12" t="s">
        <v>63</v>
      </c>
      <c r="D25" s="13" t="s">
        <v>114</v>
      </c>
      <c r="E25" s="13" t="s">
        <v>115</v>
      </c>
      <c r="F25" s="12">
        <v>506.5</v>
      </c>
      <c r="G25" s="12">
        <v>2879.53</v>
      </c>
      <c r="H25" s="14">
        <v>24.74</v>
      </c>
      <c r="I25" s="12">
        <v>27.29</v>
      </c>
      <c r="J25" s="14">
        <v>0.9065591791865152</v>
      </c>
      <c r="K25" s="14">
        <v>5.71</v>
      </c>
      <c r="L25" s="12">
        <v>3.26</v>
      </c>
      <c r="M25" s="14">
        <v>1.751533742331288</v>
      </c>
      <c r="N25" s="14">
        <v>13.51</v>
      </c>
      <c r="O25" s="14">
        <v>13.73</v>
      </c>
      <c r="P25" s="14">
        <v>5.91</v>
      </c>
      <c r="Q25" s="14">
        <v>21.84</v>
      </c>
      <c r="R25" s="14">
        <v>19.97</v>
      </c>
      <c r="S25" s="14">
        <v>8.0</v>
      </c>
      <c r="T25" s="14">
        <v>0.34</v>
      </c>
      <c r="U25" s="14">
        <v>8.79</v>
      </c>
      <c r="V25" s="14">
        <v>0.89</v>
      </c>
      <c r="W25" s="14">
        <v>6.97</v>
      </c>
      <c r="X25" s="14">
        <v>68.77</v>
      </c>
      <c r="Y25" s="14">
        <v>0.0</v>
      </c>
      <c r="Z25" s="19">
        <v>14.85</v>
      </c>
      <c r="AA25" s="20">
        <v>0.5423574835223173</v>
      </c>
      <c r="AB25" s="21" t="s">
        <v>36</v>
      </c>
    </row>
    <row r="26" ht="15.75" customHeight="1">
      <c r="A26" s="9">
        <v>25.0</v>
      </c>
      <c r="B26" s="9" t="s">
        <v>116</v>
      </c>
      <c r="C26" s="9" t="s">
        <v>67</v>
      </c>
      <c r="D26" s="10" t="s">
        <v>117</v>
      </c>
      <c r="E26" s="10" t="s">
        <v>118</v>
      </c>
      <c r="F26" s="9">
        <v>178.02</v>
      </c>
      <c r="G26" s="9">
        <v>1726.07</v>
      </c>
      <c r="H26" s="18">
        <v>22.54</v>
      </c>
      <c r="I26" s="9">
        <v>22.02</v>
      </c>
      <c r="J26" s="18">
        <v>1.0236148955495</v>
      </c>
      <c r="K26" s="18">
        <v>4.69</v>
      </c>
      <c r="L26" s="9">
        <v>3.25</v>
      </c>
      <c r="M26" s="18">
        <v>1.443076923076923</v>
      </c>
      <c r="N26" s="18">
        <v>13.21</v>
      </c>
      <c r="O26" s="18">
        <v>32.63</v>
      </c>
      <c r="P26" s="18">
        <v>6.09</v>
      </c>
      <c r="Q26" s="18">
        <v>16.81</v>
      </c>
      <c r="R26" s="18">
        <v>12.37</v>
      </c>
      <c r="S26" s="18">
        <v>8.0</v>
      </c>
      <c r="T26" s="18">
        <v>0.04</v>
      </c>
      <c r="U26" s="18">
        <v>69.44</v>
      </c>
      <c r="V26" s="18">
        <v>9.84</v>
      </c>
      <c r="W26" s="18">
        <v>10.0</v>
      </c>
      <c r="X26" s="18">
        <v>74.4</v>
      </c>
      <c r="Y26" s="18">
        <v>0.0</v>
      </c>
      <c r="Z26" s="19">
        <v>19.21</v>
      </c>
      <c r="AA26" s="20">
        <v>0.5395186638545292</v>
      </c>
      <c r="AB26" s="21" t="s">
        <v>53</v>
      </c>
    </row>
    <row r="27" ht="15.75" customHeight="1">
      <c r="A27" s="12">
        <v>26.0</v>
      </c>
      <c r="B27" s="12" t="s">
        <v>119</v>
      </c>
      <c r="C27" s="12" t="s">
        <v>46</v>
      </c>
      <c r="D27" s="13" t="s">
        <v>120</v>
      </c>
      <c r="E27" s="13" t="s">
        <v>121</v>
      </c>
      <c r="F27" s="12">
        <v>593.6</v>
      </c>
      <c r="G27" s="12">
        <v>8490.69</v>
      </c>
      <c r="H27" s="14">
        <v>17.77</v>
      </c>
      <c r="I27" s="12">
        <v>27.29</v>
      </c>
      <c r="J27" s="14">
        <v>0.6511542689629901</v>
      </c>
      <c r="K27" s="14">
        <v>5.19</v>
      </c>
      <c r="L27" s="12">
        <v>3.26</v>
      </c>
      <c r="M27" s="14">
        <v>1.592024539877301</v>
      </c>
      <c r="N27" s="14">
        <v>11.82</v>
      </c>
      <c r="O27" s="14">
        <v>81.03</v>
      </c>
      <c r="P27" s="14">
        <v>7.25</v>
      </c>
      <c r="Q27" s="14">
        <v>32.36</v>
      </c>
      <c r="R27" s="14">
        <v>32.18</v>
      </c>
      <c r="S27" s="14">
        <v>6.0</v>
      </c>
      <c r="T27" s="14">
        <v>0.45</v>
      </c>
      <c r="U27" s="14">
        <v>21.41</v>
      </c>
      <c r="V27" s="14">
        <v>1.05</v>
      </c>
      <c r="W27" s="14">
        <v>7.61</v>
      </c>
      <c r="X27" s="14">
        <v>67.88</v>
      </c>
      <c r="Y27" s="14">
        <v>0.0</v>
      </c>
      <c r="Z27" s="19">
        <v>-2.39</v>
      </c>
      <c r="AA27" s="20">
        <v>0.5391552193095649</v>
      </c>
      <c r="AB27" s="21" t="s">
        <v>53</v>
      </c>
    </row>
    <row r="28" ht="15.75" customHeight="1">
      <c r="A28" s="9">
        <v>27.0</v>
      </c>
      <c r="B28" s="9" t="s">
        <v>122</v>
      </c>
      <c r="C28" s="9" t="s">
        <v>46</v>
      </c>
      <c r="D28" s="10" t="s">
        <v>123</v>
      </c>
      <c r="E28" s="10" t="s">
        <v>124</v>
      </c>
      <c r="F28" s="9">
        <v>467.05</v>
      </c>
      <c r="G28" s="9">
        <v>17718.12</v>
      </c>
      <c r="H28" s="18">
        <v>21.53</v>
      </c>
      <c r="I28" s="9">
        <v>27.29</v>
      </c>
      <c r="J28" s="18">
        <v>0.7889336753389521</v>
      </c>
      <c r="K28" s="18">
        <v>2.38</v>
      </c>
      <c r="L28" s="9">
        <v>3.26</v>
      </c>
      <c r="M28" s="18">
        <v>0.7300613496932515</v>
      </c>
      <c r="N28" s="18">
        <v>12.2</v>
      </c>
      <c r="O28" s="18">
        <v>23.56</v>
      </c>
      <c r="P28" s="18">
        <v>6.19</v>
      </c>
      <c r="Q28" s="18">
        <v>14.74</v>
      </c>
      <c r="R28" s="18">
        <v>11.73</v>
      </c>
      <c r="S28" s="18">
        <v>6.0</v>
      </c>
      <c r="T28" s="18">
        <v>0.06</v>
      </c>
      <c r="U28" s="18">
        <v>41.78</v>
      </c>
      <c r="V28" s="18">
        <v>1.05</v>
      </c>
      <c r="W28" s="18">
        <v>4.96</v>
      </c>
      <c r="X28" s="18">
        <v>65.7</v>
      </c>
      <c r="Y28" s="18">
        <v>0.0</v>
      </c>
      <c r="Z28" s="19">
        <v>18.9</v>
      </c>
      <c r="AA28" s="20">
        <v>0.5379877819396544</v>
      </c>
      <c r="AB28" s="21" t="s">
        <v>53</v>
      </c>
    </row>
    <row r="29" ht="15.75" customHeight="1">
      <c r="A29" s="12">
        <v>28.0</v>
      </c>
      <c r="B29" s="12" t="s">
        <v>125</v>
      </c>
      <c r="C29" s="12" t="s">
        <v>50</v>
      </c>
      <c r="D29" s="13" t="s">
        <v>126</v>
      </c>
      <c r="E29" s="13" t="s">
        <v>127</v>
      </c>
      <c r="F29" s="12">
        <v>141.86</v>
      </c>
      <c r="G29" s="12">
        <v>3138.13</v>
      </c>
      <c r="H29" s="14">
        <v>17.93</v>
      </c>
      <c r="I29" s="12">
        <v>14.35</v>
      </c>
      <c r="J29" s="14">
        <v>1.249477351916376</v>
      </c>
      <c r="K29" s="14">
        <v>1.62</v>
      </c>
      <c r="L29" s="12">
        <v>1.53</v>
      </c>
      <c r="M29" s="14">
        <v>1.058823529411765</v>
      </c>
      <c r="N29" s="14">
        <v>9.06</v>
      </c>
      <c r="O29" s="14">
        <v>43.24</v>
      </c>
      <c r="P29" s="14">
        <v>8.46</v>
      </c>
      <c r="Q29" s="14">
        <v>14.75</v>
      </c>
      <c r="R29" s="14">
        <v>12.58</v>
      </c>
      <c r="S29" s="14">
        <v>7.0</v>
      </c>
      <c r="T29" s="14">
        <v>0.05</v>
      </c>
      <c r="U29" s="14">
        <v>12.95</v>
      </c>
      <c r="V29" s="14">
        <v>2.39</v>
      </c>
      <c r="W29" s="14">
        <v>4.68</v>
      </c>
      <c r="X29" s="14">
        <v>63.35</v>
      </c>
      <c r="Y29" s="14">
        <v>0.0</v>
      </c>
      <c r="Z29" s="19">
        <v>-7.46</v>
      </c>
      <c r="AA29" s="20">
        <v>0.5349592977937228</v>
      </c>
      <c r="AB29" s="21" t="s">
        <v>53</v>
      </c>
    </row>
    <row r="30" ht="15.75" customHeight="1">
      <c r="A30" s="9">
        <v>29.0</v>
      </c>
      <c r="B30" s="9" t="s">
        <v>128</v>
      </c>
      <c r="C30" s="9" t="s">
        <v>38</v>
      </c>
      <c r="D30" s="10" t="s">
        <v>129</v>
      </c>
      <c r="E30" s="10" t="s">
        <v>130</v>
      </c>
      <c r="F30" s="9">
        <v>1136.0</v>
      </c>
      <c r="G30" s="9">
        <v>10249.05</v>
      </c>
      <c r="H30" s="18">
        <v>18.11</v>
      </c>
      <c r="I30" s="9">
        <v>25.73</v>
      </c>
      <c r="J30" s="18">
        <v>0.7038476486591527</v>
      </c>
      <c r="K30" s="18">
        <v>3.83</v>
      </c>
      <c r="L30" s="9">
        <v>2.49</v>
      </c>
      <c r="M30" s="18">
        <v>1.538152610441767</v>
      </c>
      <c r="N30" s="18">
        <v>10.02</v>
      </c>
      <c r="O30" s="18">
        <v>84.43</v>
      </c>
      <c r="P30" s="18">
        <v>6.89</v>
      </c>
      <c r="Q30" s="18">
        <v>16.5</v>
      </c>
      <c r="R30" s="18">
        <v>12.62</v>
      </c>
      <c r="S30" s="18">
        <v>8.0</v>
      </c>
      <c r="T30" s="18">
        <v>0.0</v>
      </c>
      <c r="U30" s="18">
        <v>406.6</v>
      </c>
      <c r="V30" s="18">
        <v>1.08</v>
      </c>
      <c r="W30" s="18">
        <v>5.99</v>
      </c>
      <c r="X30" s="18">
        <v>74.82</v>
      </c>
      <c r="Y30" s="18">
        <v>0.0</v>
      </c>
      <c r="Z30" s="19">
        <v>25.73</v>
      </c>
      <c r="AA30" s="20">
        <v>0.5329123608763708</v>
      </c>
      <c r="AB30" s="21" t="s">
        <v>53</v>
      </c>
    </row>
    <row r="31" ht="15.75" customHeight="1">
      <c r="A31" s="12">
        <v>30.0</v>
      </c>
      <c r="B31" s="12" t="s">
        <v>131</v>
      </c>
      <c r="C31" s="12" t="s">
        <v>63</v>
      </c>
      <c r="D31" s="13" t="s">
        <v>132</v>
      </c>
      <c r="E31" s="13" t="s">
        <v>133</v>
      </c>
      <c r="F31" s="12">
        <v>459.75</v>
      </c>
      <c r="G31" s="12">
        <v>3090.78</v>
      </c>
      <c r="H31" s="14">
        <v>18.41</v>
      </c>
      <c r="I31" s="12">
        <v>32.47</v>
      </c>
      <c r="J31" s="14">
        <v>0.5669849091469049</v>
      </c>
      <c r="K31" s="14">
        <v>8.0</v>
      </c>
      <c r="L31" s="12">
        <v>5.21</v>
      </c>
      <c r="M31" s="14">
        <v>1.535508637236084</v>
      </c>
      <c r="N31" s="14">
        <v>12.67</v>
      </c>
      <c r="O31" s="14">
        <v>15.94</v>
      </c>
      <c r="P31" s="14">
        <v>7.46</v>
      </c>
      <c r="Q31" s="14">
        <v>6.09</v>
      </c>
      <c r="R31" s="14">
        <v>105.32</v>
      </c>
      <c r="S31" s="14">
        <v>9.0</v>
      </c>
      <c r="T31" s="14">
        <v>0.05</v>
      </c>
      <c r="U31" s="14">
        <v>11.69</v>
      </c>
      <c r="V31" s="14">
        <v>1.12</v>
      </c>
      <c r="W31" s="14">
        <v>4.04</v>
      </c>
      <c r="X31" s="14">
        <v>68.58</v>
      </c>
      <c r="Y31" s="14">
        <v>0.0</v>
      </c>
      <c r="Z31" s="19">
        <v>27.21</v>
      </c>
      <c r="AA31" s="20">
        <v>0.5276399059086188</v>
      </c>
      <c r="AB31" s="21" t="s">
        <v>53</v>
      </c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$A$1:$Y$3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34.0"/>
    <col customWidth="1" min="3" max="4" width="22.0"/>
    <col customWidth="1" min="5" max="6" width="12.63"/>
    <col customWidth="1" min="31" max="32" width="20.0"/>
    <col customWidth="1" min="33" max="36" width="14.0"/>
    <col customWidth="1" min="37" max="38" width="12.0"/>
    <col customWidth="1" min="39" max="39" width="17.0"/>
    <col customWidth="1" min="40" max="40" width="22.0"/>
    <col customWidth="1" min="41" max="41" width="13.0"/>
    <col customWidth="1" min="42" max="43" width="14.0"/>
    <col customWidth="1" min="44" max="44" width="23.0"/>
    <col customWidth="1" min="45" max="47" width="12.0"/>
    <col customWidth="1" min="48" max="48" width="17.0"/>
    <col customWidth="1" min="49" max="49" width="16.0"/>
    <col customWidth="1" min="50" max="50" width="24.0"/>
    <col customWidth="1" min="51" max="51" width="15.0"/>
    <col customWidth="1" min="52" max="52" width="20.0"/>
    <col customWidth="1" min="53" max="53" width="19.0"/>
    <col customWidth="1" min="54" max="55" width="16.0"/>
    <col customWidth="1" min="56" max="56" width="17.0"/>
    <col customWidth="1" min="57" max="57" width="24.0"/>
    <col customWidth="1" min="58" max="58" width="17.0"/>
    <col customWidth="1" min="59" max="60" width="19.0"/>
    <col customWidth="1" min="61" max="61" width="12.0"/>
    <col customWidth="1" min="62" max="62" width="17.0"/>
    <col customWidth="1" min="63" max="63" width="16.0"/>
    <col customWidth="1" min="64" max="64" width="15.0"/>
    <col customWidth="1" min="65" max="65" width="24.0"/>
    <col customWidth="1" min="66" max="66" width="15.0"/>
    <col customWidth="1" min="67" max="67" width="16.0"/>
    <col customWidth="1" min="68" max="68" width="12.0"/>
    <col customWidth="1" min="69" max="69" width="13.0"/>
    <col customWidth="1" min="70" max="74" width="12.0"/>
    <col customWidth="1" min="75" max="75" width="24.0"/>
    <col customWidth="1" hidden="1" min="79" max="105" width="12.0"/>
  </cols>
  <sheetData>
    <row r="1" ht="15.75" customHeight="1">
      <c r="A1" s="22" t="s">
        <v>226</v>
      </c>
      <c r="B1" s="23" t="s">
        <v>8</v>
      </c>
      <c r="C1" s="23" t="s">
        <v>9</v>
      </c>
      <c r="D1" s="23" t="s">
        <v>10</v>
      </c>
      <c r="E1" s="22" t="s">
        <v>11</v>
      </c>
      <c r="F1" s="22" t="s">
        <v>13</v>
      </c>
      <c r="G1" s="22" t="s">
        <v>12</v>
      </c>
      <c r="H1" s="22" t="s">
        <v>21</v>
      </c>
      <c r="I1" s="22" t="s">
        <v>217</v>
      </c>
      <c r="J1" s="22" t="s">
        <v>22</v>
      </c>
      <c r="K1" s="22" t="s">
        <v>219</v>
      </c>
      <c r="L1" s="22" t="s">
        <v>23</v>
      </c>
      <c r="M1" s="22" t="s">
        <v>222</v>
      </c>
      <c r="N1" s="22" t="s">
        <v>223</v>
      </c>
      <c r="O1" s="22" t="s">
        <v>227</v>
      </c>
      <c r="P1" s="22" t="s">
        <v>228</v>
      </c>
      <c r="Q1" s="22" t="s">
        <v>24</v>
      </c>
      <c r="R1" s="22" t="s">
        <v>224</v>
      </c>
      <c r="S1" s="22" t="s">
        <v>25</v>
      </c>
      <c r="T1" s="22" t="s">
        <v>229</v>
      </c>
      <c r="U1" s="22" t="s">
        <v>230</v>
      </c>
      <c r="V1" s="22" t="s">
        <v>30</v>
      </c>
      <c r="W1" s="22" t="s">
        <v>231</v>
      </c>
      <c r="X1" s="22" t="s">
        <v>232</v>
      </c>
      <c r="Y1" s="22" t="s">
        <v>233</v>
      </c>
      <c r="Z1" s="22" t="s">
        <v>234</v>
      </c>
      <c r="AA1" s="22" t="s">
        <v>235</v>
      </c>
      <c r="AB1" s="22" t="s">
        <v>221</v>
      </c>
      <c r="AC1" s="22" t="s">
        <v>26</v>
      </c>
      <c r="AD1" s="22" t="s">
        <v>225</v>
      </c>
      <c r="AE1" s="24" t="s">
        <v>27</v>
      </c>
      <c r="AF1" s="24" t="s">
        <v>29</v>
      </c>
      <c r="AG1" s="24" t="s">
        <v>28</v>
      </c>
      <c r="AH1" s="7" t="s">
        <v>236</v>
      </c>
      <c r="AI1" s="7" t="s">
        <v>237</v>
      </c>
      <c r="AJ1" s="7" t="s">
        <v>238</v>
      </c>
      <c r="AK1" s="7" t="s">
        <v>239</v>
      </c>
      <c r="AL1" s="7" t="s">
        <v>240</v>
      </c>
      <c r="AM1" s="7" t="s">
        <v>241</v>
      </c>
      <c r="AN1" s="7" t="s">
        <v>242</v>
      </c>
      <c r="AO1" s="7" t="s">
        <v>243</v>
      </c>
      <c r="AP1" s="7" t="s">
        <v>244</v>
      </c>
      <c r="AQ1" s="7" t="s">
        <v>245</v>
      </c>
      <c r="AR1" s="7" t="s">
        <v>246</v>
      </c>
      <c r="AS1" s="7" t="s">
        <v>247</v>
      </c>
      <c r="AT1" s="7" t="s">
        <v>248</v>
      </c>
      <c r="AU1" s="7" t="s">
        <v>249</v>
      </c>
      <c r="AV1" s="7" t="s">
        <v>250</v>
      </c>
      <c r="AW1" s="7" t="s">
        <v>251</v>
      </c>
      <c r="AX1" s="7" t="s">
        <v>252</v>
      </c>
      <c r="AY1" s="7" t="s">
        <v>253</v>
      </c>
      <c r="AZ1" s="7" t="s">
        <v>254</v>
      </c>
      <c r="BA1" s="7" t="s">
        <v>255</v>
      </c>
      <c r="BB1" s="7" t="s">
        <v>256</v>
      </c>
      <c r="BC1" s="7" t="s">
        <v>257</v>
      </c>
      <c r="BD1" s="7" t="s">
        <v>258</v>
      </c>
      <c r="BE1" s="7" t="s">
        <v>259</v>
      </c>
      <c r="BF1" s="7" t="s">
        <v>260</v>
      </c>
      <c r="BG1" s="7" t="s">
        <v>261</v>
      </c>
      <c r="BH1" s="7" t="s">
        <v>262</v>
      </c>
      <c r="BI1" s="7" t="s">
        <v>263</v>
      </c>
      <c r="BJ1" s="7" t="s">
        <v>264</v>
      </c>
      <c r="BK1" s="7" t="s">
        <v>265</v>
      </c>
      <c r="BL1" s="7" t="s">
        <v>18</v>
      </c>
      <c r="BM1" s="7" t="s">
        <v>266</v>
      </c>
      <c r="BN1" s="7" t="s">
        <v>267</v>
      </c>
      <c r="BO1" s="7" t="s">
        <v>19</v>
      </c>
      <c r="BP1" s="7" t="s">
        <v>268</v>
      </c>
      <c r="BQ1" s="7" t="s">
        <v>269</v>
      </c>
      <c r="BR1" s="7" t="s">
        <v>270</v>
      </c>
      <c r="BS1" s="7" t="s">
        <v>14</v>
      </c>
      <c r="BT1" s="7" t="s">
        <v>271</v>
      </c>
      <c r="BU1" s="7" t="s">
        <v>272</v>
      </c>
      <c r="BV1" s="7" t="s">
        <v>273</v>
      </c>
      <c r="BW1" s="7" t="s">
        <v>274</v>
      </c>
      <c r="BX1" s="7" t="s">
        <v>275</v>
      </c>
      <c r="BY1" s="7" t="s">
        <v>276</v>
      </c>
      <c r="BZ1" s="7" t="s">
        <v>277</v>
      </c>
      <c r="CA1" s="7" t="s">
        <v>278</v>
      </c>
      <c r="CB1" s="7" t="s">
        <v>279</v>
      </c>
      <c r="CC1" s="7" t="s">
        <v>280</v>
      </c>
      <c r="CD1" s="7" t="s">
        <v>281</v>
      </c>
      <c r="CE1" s="7" t="s">
        <v>282</v>
      </c>
      <c r="CF1" s="7" t="s">
        <v>283</v>
      </c>
      <c r="CG1" s="7" t="s">
        <v>284</v>
      </c>
      <c r="CH1" s="7" t="s">
        <v>285</v>
      </c>
      <c r="CI1" s="7" t="s">
        <v>286</v>
      </c>
      <c r="CJ1" s="7" t="s">
        <v>287</v>
      </c>
      <c r="CK1" s="7" t="s">
        <v>288</v>
      </c>
      <c r="CL1" s="7" t="s">
        <v>289</v>
      </c>
      <c r="CM1" s="7" t="s">
        <v>290</v>
      </c>
      <c r="CN1" s="7" t="s">
        <v>291</v>
      </c>
      <c r="CO1" s="7" t="s">
        <v>292</v>
      </c>
      <c r="CP1" s="7" t="s">
        <v>293</v>
      </c>
      <c r="CQ1" s="7" t="s">
        <v>294</v>
      </c>
      <c r="CR1" s="7" t="s">
        <v>295</v>
      </c>
      <c r="CS1" s="7" t="s">
        <v>296</v>
      </c>
      <c r="CT1" s="7" t="s">
        <v>297</v>
      </c>
      <c r="CU1" s="7" t="s">
        <v>298</v>
      </c>
      <c r="CV1" s="7" t="s">
        <v>299</v>
      </c>
      <c r="CW1" s="7" t="s">
        <v>300</v>
      </c>
      <c r="CX1" s="7" t="s">
        <v>301</v>
      </c>
      <c r="CY1" s="7" t="s">
        <v>302</v>
      </c>
      <c r="CZ1" s="7" t="s">
        <v>303</v>
      </c>
      <c r="DA1" s="7" t="s">
        <v>304</v>
      </c>
    </row>
    <row r="2" ht="15.75" customHeight="1">
      <c r="A2" s="25">
        <v>1.0</v>
      </c>
      <c r="B2" s="26" t="s">
        <v>91</v>
      </c>
      <c r="C2" s="9" t="s">
        <v>38</v>
      </c>
      <c r="D2" s="10" t="s">
        <v>92</v>
      </c>
      <c r="E2" s="27" t="s">
        <v>93</v>
      </c>
      <c r="F2" s="28">
        <v>617.65</v>
      </c>
      <c r="G2" s="28">
        <v>260976.83</v>
      </c>
      <c r="H2" s="28">
        <v>22.36</v>
      </c>
      <c r="I2" s="28">
        <v>44.52</v>
      </c>
      <c r="J2" s="28">
        <v>19.17</v>
      </c>
      <c r="K2" s="28">
        <v>15.81</v>
      </c>
      <c r="L2" s="28">
        <v>13.55</v>
      </c>
      <c r="M2" s="28">
        <v>60.73</v>
      </c>
      <c r="N2" s="28">
        <v>72.42</v>
      </c>
      <c r="O2" s="28">
        <v>30.23</v>
      </c>
      <c r="P2" s="28">
        <v>6.0</v>
      </c>
      <c r="Q2" s="28">
        <v>6.0</v>
      </c>
      <c r="R2" s="28">
        <v>7.0</v>
      </c>
      <c r="S2" s="28">
        <v>0.82</v>
      </c>
      <c r="T2" s="28">
        <v>1.2070345E7</v>
      </c>
      <c r="U2" s="28">
        <v>7888687.0</v>
      </c>
      <c r="V2" s="28">
        <v>41.16</v>
      </c>
      <c r="W2" s="28">
        <v>603.84</v>
      </c>
      <c r="X2" s="28">
        <v>531.38</v>
      </c>
      <c r="Y2" s="28">
        <v>65894.0</v>
      </c>
      <c r="Z2" s="28">
        <v>49228.0</v>
      </c>
      <c r="AA2" s="28">
        <v>31365.0</v>
      </c>
      <c r="AB2" s="28">
        <v>24.96</v>
      </c>
      <c r="AC2" s="28">
        <v>17.29</v>
      </c>
      <c r="AD2" s="28">
        <v>0.69</v>
      </c>
      <c r="AE2" s="28">
        <v>14.79</v>
      </c>
      <c r="AF2" s="28">
        <v>61.84</v>
      </c>
      <c r="AG2" s="28">
        <v>9.27</v>
      </c>
      <c r="AH2" s="29">
        <f t="shared" ref="AH2:AH80" si="7">IF(OR(CC2="",CD2="",CD2=0),"",CC2/CD2)</f>
        <v>0.5022461815</v>
      </c>
      <c r="AI2" s="29">
        <f t="shared" ref="AI2:AI80" si="8">IF(OR(CE2="",CF2="",CF2=0),"",CE2/CF2)</f>
        <v>1.212523719</v>
      </c>
      <c r="AJ2" s="29">
        <f t="shared" ref="AJ2:AJ80" si="9">IF(OR(CA2="",CX2="",CX2=0),"",CA2/CX2)</f>
        <v>1.16235086</v>
      </c>
      <c r="AK2" s="29">
        <f t="shared" ref="AK2:AK80" si="10">IF(OR(CY2="",CB2="",CB2=0),"",CY2/CB2)</f>
        <v>0.2524898475</v>
      </c>
      <c r="AL2" s="29">
        <f t="shared" ref="AL2:AL80" si="11">IF(OR(CZ2="",CB2="",CB2=0),"",CZ2/CB2)</f>
        <v>0.1886297722</v>
      </c>
      <c r="AM2" s="29">
        <f t="shared" ref="AM2:AM80" si="12">IF(OR(DA2="",CB2="",CB2=0),"",DA2/CB2)</f>
        <v>0.1201830829</v>
      </c>
      <c r="AN2" s="29">
        <f t="shared" ref="AN2:AN80" si="13">IF(OR(CC2="",CC2&lt;=0),"",IFERROR(1-_xlfn.PERCENTRANK.INC($CC$2:$CC$80,CC2),""))</f>
        <v>0.474</v>
      </c>
      <c r="AO2" s="29">
        <f t="shared" ref="AO2:AO80" si="14">IF(OR(CE2="",CE2&lt;=0),"",IFERROR(1-_xlfn.PERCENTRANK.INC($CE$2:$CE$80,CE2),""))</f>
        <v>0</v>
      </c>
      <c r="AP2" s="29">
        <f t="shared" ref="AP2:AP80" si="15">IF(OR(CG2="",CG2&lt;=0),"",IFERROR(1-_xlfn.PERCENTRANK.INC($CG$2:$CG$80,CG2),""))</f>
        <v>0.359</v>
      </c>
      <c r="AQ2" s="29">
        <f t="shared" ref="AQ2:AQ80" si="16">IF(CM2="","",IFERROR(_xlfn.PERCENTRANK.INC($CM$2:$CM$80,CM2),""))</f>
        <v>0.397</v>
      </c>
      <c r="AR2" s="29">
        <f t="shared" ref="AR2:AR80" si="17">IF(OR(CH2="",CH2&lt;=0),"",IFERROR(1-_xlfn.PERCENTRANK.INC($CH$2:$CH$80,CH2),""))</f>
        <v>0.551</v>
      </c>
      <c r="AS2" s="29">
        <f t="shared" ref="AS2:AS80" si="18">IF(OR(AH2="",AH2&lt;=0),"",IFERROR(1-_xlfn.PERCENTRANK.INC($AH$2:$AH$80,AH2),""))</f>
        <v>0.923</v>
      </c>
      <c r="AT2" s="29">
        <f t="shared" ref="AT2:AT80" si="19">IF(OR(AI2="",AI2&lt;=0),"",IFERROR(1-_xlfn.PERCENTRANK.INC($AI$2:$AI$80,AI2),""))</f>
        <v>0.538</v>
      </c>
      <c r="AU2" s="29">
        <f t="shared" ref="AU2:AU80" si="20">IFERROR((0.2*IF(AN2="",0,AN2) + 0.15*IF(AO2="",0,AO2) + 0.2*IF(AP2="",0,AP2) + 0.15*IF(AQ2="",0,AQ2) + 0.15*IF(AR2="",0,AR2) + 0.075*IF(AS2="",0,AS2) + 0.075*IF(AT2="",0,AT2))/(0.2*IF(AN2="",0,1) + 0.15*IF(AO2="",0,1) + 0.2*IF(AP2="",0,1) + 0.15*IF(AQ2="",0,1) + 0.15*IF(AR2="",0,1) + 0.075*IF(AS2="",0,1) + 0.075*IF(AT2="",0,1)),"")</f>
        <v>0.418375</v>
      </c>
      <c r="AV2" s="29">
        <f t="shared" ref="AV2:AV80" si="21">IF(CI2="","",IFERROR(_xlfn.PERCENTRANK.INC($CI$2:$CI$80,CI2),""))</f>
        <v>1</v>
      </c>
      <c r="AW2" s="29">
        <f t="shared" ref="AW2:AW80" si="22">IF(CJ2="","",IFERROR(_xlfn.PERCENTRANK.INC($CJ$2:$CJ$80,CJ2),""))</f>
        <v>0.987</v>
      </c>
      <c r="AX2" s="29">
        <f t="shared" ref="AX2:AX80" si="23">IF(CK2="","",IFERROR(_xlfn.PERCENTRANK.INC($CK$2:$CK$80,CK2),""))</f>
        <v>0.987</v>
      </c>
      <c r="AY2" s="29">
        <f t="shared" ref="AY2:AY80" si="24">IF(CN2="","",IFERROR(_xlfn.PERCENTRANK.INC($CN$2:$CN$80,CN2),""))</f>
        <v>0.256</v>
      </c>
      <c r="AZ2" s="29">
        <f t="shared" ref="AZ2:AZ80" si="25">IF(CL2="","",IFERROR(_xlfn.PERCENTRANK.INC($CL$2:$CL$80,CL2),""))</f>
        <v>0.756</v>
      </c>
      <c r="BA2" s="29">
        <f t="shared" ref="BA2:BA80" si="26">IFERROR((0.25*IF(AV2="",0,AV2) + 0.2*IF(AW2="",0,AW2) + 0.1*IF(AX2="",0,AX2) + 0.25*IF(AY2="",0,AY2) + 0.2*IF(AZ2="",0,AZ2))/(0.25*IF(AV2="",0,1) + 0.2*IF(AW2="",0,1) + 0.1*IF(AX2="",0,1) + 0.25*IF(AY2="",0,1) + 0.2*IF(AZ2="",0,1)),"")</f>
        <v>0.7613</v>
      </c>
      <c r="BB2" s="29">
        <f t="shared" ref="BB2:BB80" si="27">IF(OR(CO2="",CO2&lt;0),"",IFERROR(1-_xlfn.PERCENTRANK.INC($CO$2:$CO$80,CO2),""))</f>
        <v>0.154</v>
      </c>
      <c r="BC2" s="29">
        <f t="shared" ref="BC2:BC80" si="28">IF(OR(CP2="",CP2&lt;=0),"",IFERROR(_xlfn.PERCENTRANK.INC($CP$2:$CP$80,CP2),""))</f>
        <v>0.577</v>
      </c>
      <c r="BD2" s="29">
        <f t="shared" ref="BD2:BD80" si="29">IF(OR(CQ2="",CQ2&lt;=0),"",IFERROR(_xlfn.PERCENTRANK.INC($CQ$2:$CQ$80,CQ2),""))</f>
        <v>0.154</v>
      </c>
      <c r="BE2" s="29">
        <f t="shared" ref="BE2:BE80" si="30">IF(OR(CR2="",CR2&lt;=0),"",IFERROR(_xlfn.PERCENTRANK.INC($CR$2:$CR$80,CR2),""))</f>
        <v>1</v>
      </c>
      <c r="BF2" s="29">
        <f t="shared" ref="BF2:BF80" si="31">IF(OR(CT2="",CT2&lt;0),"",IFERROR(1-_xlfn.PERCENTRANK.INC($CT$2:$CT$80,CT2),""))</f>
        <v>0</v>
      </c>
      <c r="BG2" s="29">
        <f t="shared" ref="BG2:BG80" si="32">IF(OR(CS2="",CS2&lt;0),"",IFERROR(_xlfn.PERCENTRANK.INC($CS$2:$CS$80,CS2),""))</f>
        <v>0.423</v>
      </c>
      <c r="BH2" s="29">
        <f t="shared" ref="BH2:BH80" si="33">IFERROR((0.3*IF(BB2="",0,BB2) + 0.15*IF(BC2="",0,BC2) + 0.1*IF(BD2="",0,BD2) + 0.25*IF(BE2="",0,BE2) + 0.1*IF(BF2="",0,BF2) + 0.1*IF(BG2="",0,BG2))/(0.3*IF(BB2="",0,1) + 0.15*IF(BC2="",0,1) + 0.1*IF(BD2="",0,1) + 0.25*IF(BE2="",0,1) + 0.1*IF(BF2="",0,1) + 0.1*IF(BG2="",0,1)),"")</f>
        <v>0.44045</v>
      </c>
      <c r="BI2" s="29">
        <f t="shared" ref="BI2:BI80" si="34">IF(AH2="","",IFERROR(_xlfn.PERCENTRANK.INC($AH$2:$AH$80,AH2),""))</f>
        <v>0.077</v>
      </c>
      <c r="BJ2" s="29">
        <f t="shared" ref="BJ2:BJ80" si="35">IF(AI2="","",IFERROR(_xlfn.PERCENTRANK.INC($AI$2:$AI$80,AI2),""))</f>
        <v>0.462</v>
      </c>
      <c r="BK2" s="29">
        <f t="shared" ref="BK2:BK80" si="36">IF(AJ2="","",IFERROR(_xlfn.PERCENTRANK.INC($AJ$2:$AJ$80,AJ2),""))</f>
        <v>0.782</v>
      </c>
      <c r="BL2" s="29">
        <f t="shared" ref="BL2:BL80" si="37">IFERROR((0.4*IF(BF2="",0,BF2) + 0.35*IF(BG2="",0,BG2) + 0.25*IF(BH2="",0,BH2))/(0.4*IF(BF2="",0,1) + 0.35*IF(BG2="",0,1) + 0.25*IF(BH2="",0,1)),"")</f>
        <v>0.2581625</v>
      </c>
      <c r="BM2" s="29">
        <f t="shared" ref="BM2:BM80" si="38">IF(CV2="","",IFERROR(_xlfn.PERCENTRANK.INC($CV$2:$CV$80,CV2),""))</f>
        <v>0.897</v>
      </c>
      <c r="BN2" s="30">
        <f t="shared" ref="BN2:BN80" si="39">IF(OR(CA2&gt;CX2,CW2&gt;CX2,CV2&gt;0),1,0)</f>
        <v>1</v>
      </c>
      <c r="BO2" s="29">
        <f t="shared" ref="BO2:BO80" si="40">IFERROR(AVERAGE(BM2,BN2),"")</f>
        <v>0.9485</v>
      </c>
      <c r="BP2" s="29">
        <f t="shared" ref="BP2:BP80" si="41">IF(CU2="","",IFERROR(_xlfn.PERCENTRANK.INC($CU$2:$CU$80,CU2),""))</f>
        <v>0.936</v>
      </c>
      <c r="BQ2" s="29">
        <f t="shared" ref="BQ2:BQ80" si="42">IF(OR(AX2="",BE2=""),"",1-(0.5*AX2+0.3*BE2+0.2*IF(BI2="",0.5,BI2)) )</f>
        <v>0.1911</v>
      </c>
      <c r="BR2" s="31" t="str">
        <f t="shared" ref="BR2:BR80" si="43">IF(BN2="","",IF(BN2&gt;0.7,"High",IF(BN2&gt;0.4,"Medium","Low")))</f>
        <v>High</v>
      </c>
      <c r="BS2" s="29">
        <f t="shared" ref="BS2:BS80" si="44">IF(OR(AR2="",AX2="",BE2=""),"",MAX(0,MIN(1,(0.4*AR2+0.25*AX2+0.2*BE2+0.1*BI2+0.05*BL2)+(IF(O2&lt;5,-0.03,0)+IF(P2&gt;1.5,-0.05,0)+IF(Z2&lt;&gt;"",IF(Z2&lt;2,-0.03,0),0)+IF(AD2&gt;15,-0.03,0)+IF(S2&lt;&gt;"",IF(S2&lt;-15,-0.02,0),0)))))</f>
        <v>0.637758125</v>
      </c>
      <c r="BT2" s="31" t="str">
        <f t="shared" ref="BT2:BT80" si="45">IF(AND(CB2&gt;=500,CA2&gt;=20,CU2&gt;=IFERROR(_xlfn.PERCENTILE.INC($CU$2:$CU$80,0.2),0)),"Y","N")</f>
        <v>Y</v>
      </c>
      <c r="BU2" s="31" t="str">
        <f t="shared" ref="BU2:BU80" si="46">IF((IF(AND(CC2&gt;0,CC2&lt;25),1,0)+IF(AND(CE2&gt;0,CE2&lt;4.5),1,0)+IF(AND(CG2&gt;0,CG2&lt;16),1,0)+IF(CM2&gt;=4,1,0)+IF(AND(CH2&gt;0,CH2&lt;25),1,0))&gt;=2,"Y","N")</f>
        <v>Y</v>
      </c>
      <c r="BV2" s="31" t="str">
        <f t="shared" ref="BV2:BV80" si="47">IF(OR(CN2&gt;=6,AND(CI2&gt;=15,CJ2&gt;=12),CL2&gt;=0.5),"Y","N")</f>
        <v>Y</v>
      </c>
      <c r="BW2" s="31" t="str">
        <f t="shared" ref="BW2:BW80" si="48">IF(AND(CO2&lt;=1.5,OR(CP2&gt;=2,CO2&lt;=0.5),CT2&lt;=10,CR2&gt;=2.5),"Y","N")</f>
        <v>Y</v>
      </c>
      <c r="BX2" s="31" t="str">
        <f t="shared" ref="BX2:BX80" si="49">IF(AND(BT2="Y",BU2="Y",BV2="Y",BW2="Y",BN2=1),"Y","N")</f>
        <v>Y</v>
      </c>
      <c r="BY2" s="30">
        <f t="shared" ref="BY2:BY80" si="50">IF(BX2&lt;&gt;"Y","",1+COUNTIFS($BX$2:$BX$80,"Y",$BS$2:$BS$80,"&gt;"&amp;BS2))</f>
        <v>1</v>
      </c>
      <c r="BZ2" s="32">
        <f t="shared" ref="BZ2:BZ80" si="51">IF(AND(BY2&lt;&gt;"",BY2&lt;=25),1/25,"")</f>
        <v>0.04</v>
      </c>
      <c r="CA2" s="9">
        <f t="shared" ref="CA2:CG2" si="1">IF(ISNUMBER(F2),F2,IFERROR(VALUE(SUBSTITUTE(SUBSTITUTE(SUBSTITUTE(SUBSTITUTE(F2,"(","-"),")",""),",","")," ","")),"" ))</f>
        <v>617.65</v>
      </c>
      <c r="CB2" s="9">
        <f t="shared" si="1"/>
        <v>260976.83</v>
      </c>
      <c r="CC2" s="9">
        <f t="shared" si="1"/>
        <v>22.36</v>
      </c>
      <c r="CD2" s="9">
        <f t="shared" si="1"/>
        <v>44.52</v>
      </c>
      <c r="CE2" s="9">
        <f t="shared" si="1"/>
        <v>19.17</v>
      </c>
      <c r="CF2" s="9">
        <f t="shared" si="1"/>
        <v>15.81</v>
      </c>
      <c r="CG2" s="9">
        <f t="shared" si="1"/>
        <v>13.55</v>
      </c>
      <c r="CH2" s="9">
        <f t="shared" ref="CH2:CH80" si="53">IF(ISNUMBER(AB2),AB2,IFERROR(VALUE(SUBSTITUTE(SUBSTITUTE(SUBSTITUTE(SUBSTITUTE(AB2,"(","-"),")",""),",","")," ","")),"" ))</f>
        <v>24.96</v>
      </c>
      <c r="CI2" s="9">
        <f t="shared" ref="CI2:CK2" si="2">IF(ISNUMBER(M2),M2,IFERROR(VALUE(SUBSTITUTE(SUBSTITUTE(SUBSTITUTE(SUBSTITUTE(SUBSTITUTE(M2,"(","-"),")",""),"%",""),",","")," ","")),"" ))</f>
        <v>60.73</v>
      </c>
      <c r="CJ2" s="9">
        <f t="shared" si="2"/>
        <v>72.42</v>
      </c>
      <c r="CK2" s="9">
        <f t="shared" si="2"/>
        <v>30.23</v>
      </c>
      <c r="CL2" s="9">
        <f t="shared" ref="CL2:CL80" si="55">IF(ISNUMBER(P2),P2,IFERROR(VALUE(SUBSTITUTE(SUBSTITUTE(SUBSTITUTE(SUBSTITUTE(P2,"(","-"),")",""),",","")," ","")),"" ))</f>
        <v>6</v>
      </c>
      <c r="CM2" s="9">
        <f t="shared" ref="CM2:CM80" si="56">IF(ISNUMBER(Q2),Q2,IFERROR(VALUE(SUBSTITUTE(SUBSTITUTE(SUBSTITUTE(SUBSTITUTE(SUBSTITUTE(Q2,"(","-"),")",""),"%",""),",","")," ","")),"" ))</f>
        <v>6</v>
      </c>
      <c r="CN2" s="9">
        <f t="shared" ref="CN2:CO2" si="3">IF(ISNUMBER(R2),R2,IFERROR(VALUE(SUBSTITUTE(SUBSTITUTE(SUBSTITUTE(SUBSTITUTE(R2,"(","-"),")",""),",","")," ","")),"" ))</f>
        <v>7</v>
      </c>
      <c r="CO2" s="9">
        <f t="shared" si="3"/>
        <v>0.82</v>
      </c>
      <c r="CP2" s="9">
        <f t="shared" ref="CP2:CR2" si="4">IF(ISNUMBER(AC2),AC2,IFERROR(VALUE(SUBSTITUTE(SUBSTITUTE(SUBSTITUTE(SUBSTITUTE(AC2,"(","-"),")",""),",","")," ","")),"" ))</f>
        <v>17.29</v>
      </c>
      <c r="CQ2" s="9">
        <f t="shared" si="4"/>
        <v>0.69</v>
      </c>
      <c r="CR2" s="9">
        <f t="shared" si="4"/>
        <v>14.79</v>
      </c>
      <c r="CS2" s="9">
        <f t="shared" ref="CS2:CT2" si="5">IF(ISNUMBER(AF2),AF2,IFERROR(VALUE(SUBSTITUTE(SUBSTITUTE(SUBSTITUTE(SUBSTITUTE(SUBSTITUTE(AF2,"(","-"),")",""),"%",""),",","")," ","")),"" ))</f>
        <v>61.84</v>
      </c>
      <c r="CT2" s="9">
        <f t="shared" si="5"/>
        <v>9.27</v>
      </c>
      <c r="CU2" s="9">
        <f t="shared" ref="CU2:CU80" si="60">IF(ISNUMBER(U2),U2,IFERROR(VALUE(SUBSTITUTE(SUBSTITUTE(SUBSTITUTE(SUBSTITUTE(U2,"(","-"),")",""),",","")," ","")),"" ))</f>
        <v>7888687</v>
      </c>
      <c r="CV2" s="9">
        <f t="shared" ref="CV2:CV80" si="61">IF(ISNUMBER(V2),V2,IFERROR(VALUE(SUBSTITUTE(SUBSTITUTE(SUBSTITUTE(SUBSTITUTE(SUBSTITUTE(V2,"(","-"),")",""),"%",""),",","")," ","")),"" ))</f>
        <v>41.16</v>
      </c>
      <c r="CW2" s="9">
        <f t="shared" ref="CW2:DA2" si="6">IF(ISNUMBER(W2),W2,IFERROR(VALUE(SUBSTITUTE(SUBSTITUTE(SUBSTITUTE(SUBSTITUTE(W2,"(","-"),")",""),",","")," ","")),"" ))</f>
        <v>603.84</v>
      </c>
      <c r="CX2" s="9">
        <f t="shared" si="6"/>
        <v>531.38</v>
      </c>
      <c r="CY2" s="9">
        <f t="shared" si="6"/>
        <v>65894</v>
      </c>
      <c r="CZ2" s="9">
        <f t="shared" si="6"/>
        <v>49228</v>
      </c>
      <c r="DA2" s="9">
        <f t="shared" si="6"/>
        <v>31365</v>
      </c>
    </row>
    <row r="3" ht="15.75" customHeight="1">
      <c r="A3" s="33">
        <v>2.0</v>
      </c>
      <c r="B3" s="34" t="s">
        <v>160</v>
      </c>
      <c r="C3" s="12" t="s">
        <v>67</v>
      </c>
      <c r="D3" s="13" t="s">
        <v>161</v>
      </c>
      <c r="E3" s="35" t="s">
        <v>162</v>
      </c>
      <c r="F3" s="36">
        <v>210.9</v>
      </c>
      <c r="G3" s="36">
        <v>502.14</v>
      </c>
      <c r="H3" s="36">
        <v>24.58</v>
      </c>
      <c r="I3" s="36">
        <v>22.49</v>
      </c>
      <c r="J3" s="37"/>
      <c r="K3" s="36">
        <v>2.72</v>
      </c>
      <c r="L3" s="36">
        <v>17.91</v>
      </c>
      <c r="M3" s="36">
        <v>59.48</v>
      </c>
      <c r="N3" s="36">
        <v>60.09</v>
      </c>
      <c r="O3" s="36">
        <v>33.74</v>
      </c>
      <c r="P3" s="36">
        <v>3.0</v>
      </c>
      <c r="Q3" s="36">
        <v>5.33</v>
      </c>
      <c r="R3" s="36">
        <v>8.0</v>
      </c>
      <c r="S3" s="36">
        <v>0.69</v>
      </c>
      <c r="T3" s="36">
        <v>6000.0</v>
      </c>
      <c r="U3" s="36">
        <v>143976.0</v>
      </c>
      <c r="V3" s="37"/>
      <c r="W3" s="36">
        <v>183.43</v>
      </c>
      <c r="X3" s="36">
        <v>150.82</v>
      </c>
      <c r="Y3" s="37"/>
      <c r="Z3" s="37"/>
      <c r="AA3" s="36">
        <v>4.63</v>
      </c>
      <c r="AB3" s="36">
        <v>325.23</v>
      </c>
      <c r="AC3" s="36">
        <v>18.64</v>
      </c>
      <c r="AD3" s="36">
        <v>0.45</v>
      </c>
      <c r="AE3" s="36">
        <v>7.73</v>
      </c>
      <c r="AF3" s="36">
        <v>62.47</v>
      </c>
      <c r="AG3" s="36">
        <v>0.0</v>
      </c>
      <c r="AH3" s="38">
        <f t="shared" si="7"/>
        <v>1.092930191</v>
      </c>
      <c r="AI3" s="38">
        <f t="shared" si="8"/>
        <v>0</v>
      </c>
      <c r="AJ3" s="38">
        <f t="shared" si="9"/>
        <v>1.398355656</v>
      </c>
      <c r="AK3" s="38">
        <f t="shared" si="10"/>
        <v>0</v>
      </c>
      <c r="AL3" s="38">
        <f t="shared" si="11"/>
        <v>0</v>
      </c>
      <c r="AM3" s="38">
        <f t="shared" si="12"/>
        <v>0.009220536105</v>
      </c>
      <c r="AN3" s="38">
        <f t="shared" si="13"/>
        <v>0.359</v>
      </c>
      <c r="AO3" s="38" t="str">
        <f t="shared" si="14"/>
        <v/>
      </c>
      <c r="AP3" s="38">
        <f t="shared" si="15"/>
        <v>0.128</v>
      </c>
      <c r="AQ3" s="38">
        <f t="shared" si="16"/>
        <v>0.256</v>
      </c>
      <c r="AR3" s="38">
        <f t="shared" si="17"/>
        <v>0.026</v>
      </c>
      <c r="AS3" s="38">
        <f t="shared" si="18"/>
        <v>0.218</v>
      </c>
      <c r="AT3" s="38" t="str">
        <f t="shared" si="19"/>
        <v/>
      </c>
      <c r="AU3" s="38">
        <f t="shared" si="20"/>
        <v>0.2013548387</v>
      </c>
      <c r="AV3" s="38">
        <f t="shared" si="21"/>
        <v>0.987</v>
      </c>
      <c r="AW3" s="38">
        <f t="shared" si="22"/>
        <v>0.962</v>
      </c>
      <c r="AX3" s="38">
        <f t="shared" si="23"/>
        <v>1</v>
      </c>
      <c r="AY3" s="38">
        <f t="shared" si="24"/>
        <v>0.551</v>
      </c>
      <c r="AZ3" s="38">
        <f t="shared" si="25"/>
        <v>0.128</v>
      </c>
      <c r="BA3" s="38">
        <f t="shared" si="26"/>
        <v>0.7025</v>
      </c>
      <c r="BB3" s="38">
        <f t="shared" si="27"/>
        <v>0.192</v>
      </c>
      <c r="BC3" s="38">
        <f t="shared" si="28"/>
        <v>0.59</v>
      </c>
      <c r="BD3" s="38">
        <f t="shared" si="29"/>
        <v>0.038</v>
      </c>
      <c r="BE3" s="38">
        <f t="shared" si="30"/>
        <v>0.821</v>
      </c>
      <c r="BF3" s="38">
        <f t="shared" si="31"/>
        <v>1</v>
      </c>
      <c r="BG3" s="38">
        <f t="shared" si="32"/>
        <v>0.462</v>
      </c>
      <c r="BH3" s="38">
        <f t="shared" si="33"/>
        <v>0.50135</v>
      </c>
      <c r="BI3" s="38">
        <f t="shared" si="34"/>
        <v>0.782</v>
      </c>
      <c r="BJ3" s="38">
        <f t="shared" si="35"/>
        <v>0</v>
      </c>
      <c r="BK3" s="38">
        <f t="shared" si="36"/>
        <v>0.987</v>
      </c>
      <c r="BL3" s="38">
        <f t="shared" si="37"/>
        <v>0.6870375</v>
      </c>
      <c r="BM3" s="38">
        <f t="shared" si="38"/>
        <v>0.256</v>
      </c>
      <c r="BN3" s="39">
        <f t="shared" si="39"/>
        <v>1</v>
      </c>
      <c r="BO3" s="38">
        <f t="shared" si="40"/>
        <v>0.628</v>
      </c>
      <c r="BP3" s="38">
        <f t="shared" si="41"/>
        <v>0.295</v>
      </c>
      <c r="BQ3" s="38">
        <f t="shared" si="42"/>
        <v>0.0973</v>
      </c>
      <c r="BR3" s="40" t="str">
        <f t="shared" si="43"/>
        <v>High</v>
      </c>
      <c r="BS3" s="38">
        <f t="shared" si="44"/>
        <v>0.487151875</v>
      </c>
      <c r="BT3" s="40" t="str">
        <f t="shared" si="45"/>
        <v>Y</v>
      </c>
      <c r="BU3" s="40" t="str">
        <f t="shared" si="46"/>
        <v>Y</v>
      </c>
      <c r="BV3" s="40" t="str">
        <f t="shared" si="47"/>
        <v>Y</v>
      </c>
      <c r="BW3" s="40" t="str">
        <f t="shared" si="48"/>
        <v>Y</v>
      </c>
      <c r="BX3" s="40" t="str">
        <f t="shared" si="49"/>
        <v>Y</v>
      </c>
      <c r="BY3" s="39">
        <f t="shared" si="50"/>
        <v>19</v>
      </c>
      <c r="BZ3" s="41">
        <f t="shared" si="51"/>
        <v>0.04</v>
      </c>
      <c r="CA3" s="12">
        <f t="shared" ref="CA3:CG3" si="52">IF(ISNUMBER(F3),F3,IFERROR(VALUE(SUBSTITUTE(SUBSTITUTE(SUBSTITUTE(SUBSTITUTE(F3,"(","-"),")",""),",","")," ","")),"" ))</f>
        <v>210.9</v>
      </c>
      <c r="CB3" s="12">
        <f t="shared" si="52"/>
        <v>502.14</v>
      </c>
      <c r="CC3" s="12">
        <f t="shared" si="52"/>
        <v>24.58</v>
      </c>
      <c r="CD3" s="12">
        <f t="shared" si="52"/>
        <v>22.49</v>
      </c>
      <c r="CE3" s="12">
        <f t="shared" si="52"/>
        <v>0</v>
      </c>
      <c r="CF3" s="12">
        <f t="shared" si="52"/>
        <v>2.72</v>
      </c>
      <c r="CG3" s="12">
        <f t="shared" si="52"/>
        <v>17.91</v>
      </c>
      <c r="CH3" s="12">
        <f t="shared" si="53"/>
        <v>325.23</v>
      </c>
      <c r="CI3" s="12">
        <f t="shared" ref="CI3:CK3" si="54">IF(ISNUMBER(M3),M3,IFERROR(VALUE(SUBSTITUTE(SUBSTITUTE(SUBSTITUTE(SUBSTITUTE(SUBSTITUTE(M3,"(","-"),")",""),"%",""),",","")," ","")),"" ))</f>
        <v>59.48</v>
      </c>
      <c r="CJ3" s="12">
        <f t="shared" si="54"/>
        <v>60.09</v>
      </c>
      <c r="CK3" s="12">
        <f t="shared" si="54"/>
        <v>33.74</v>
      </c>
      <c r="CL3" s="12">
        <f t="shared" si="55"/>
        <v>3</v>
      </c>
      <c r="CM3" s="12">
        <f t="shared" si="56"/>
        <v>5.33</v>
      </c>
      <c r="CN3" s="12">
        <f t="shared" ref="CN3:CO3" si="57">IF(ISNUMBER(R3),R3,IFERROR(VALUE(SUBSTITUTE(SUBSTITUTE(SUBSTITUTE(SUBSTITUTE(R3,"(","-"),")",""),",","")," ","")),"" ))</f>
        <v>8</v>
      </c>
      <c r="CO3" s="12">
        <f t="shared" si="57"/>
        <v>0.69</v>
      </c>
      <c r="CP3" s="12">
        <f t="shared" ref="CP3:CR3" si="58">IF(ISNUMBER(AC3),AC3,IFERROR(VALUE(SUBSTITUTE(SUBSTITUTE(SUBSTITUTE(SUBSTITUTE(AC3,"(","-"),")",""),",","")," ","")),"" ))</f>
        <v>18.64</v>
      </c>
      <c r="CQ3" s="12">
        <f t="shared" si="58"/>
        <v>0.45</v>
      </c>
      <c r="CR3" s="12">
        <f t="shared" si="58"/>
        <v>7.73</v>
      </c>
      <c r="CS3" s="12">
        <f t="shared" ref="CS3:CT3" si="59">IF(ISNUMBER(AF3),AF3,IFERROR(VALUE(SUBSTITUTE(SUBSTITUTE(SUBSTITUTE(SUBSTITUTE(SUBSTITUTE(AF3,"(","-"),")",""),"%",""),",","")," ","")),"" ))</f>
        <v>62.47</v>
      </c>
      <c r="CT3" s="12">
        <f t="shared" si="59"/>
        <v>0</v>
      </c>
      <c r="CU3" s="12">
        <f t="shared" si="60"/>
        <v>143976</v>
      </c>
      <c r="CV3" s="12">
        <f t="shared" si="61"/>
        <v>0</v>
      </c>
      <c r="CW3" s="12">
        <f t="shared" ref="CW3:DA3" si="62">IF(ISNUMBER(W3),W3,IFERROR(VALUE(SUBSTITUTE(SUBSTITUTE(SUBSTITUTE(SUBSTITUTE(W3,"(","-"),")",""),",","")," ","")),"" ))</f>
        <v>183.43</v>
      </c>
      <c r="CX3" s="12">
        <f t="shared" si="62"/>
        <v>150.82</v>
      </c>
      <c r="CY3" s="12">
        <f t="shared" si="62"/>
        <v>0</v>
      </c>
      <c r="CZ3" s="12">
        <f t="shared" si="62"/>
        <v>0</v>
      </c>
      <c r="DA3" s="12">
        <f t="shared" si="62"/>
        <v>4.63</v>
      </c>
    </row>
    <row r="4" ht="15.75" customHeight="1">
      <c r="A4" s="25">
        <v>3.0</v>
      </c>
      <c r="B4" s="26" t="s">
        <v>305</v>
      </c>
      <c r="C4" s="9" t="s">
        <v>33</v>
      </c>
      <c r="D4" s="10" t="s">
        <v>306</v>
      </c>
      <c r="E4" s="27" t="s">
        <v>307</v>
      </c>
      <c r="F4" s="28">
        <v>626.35</v>
      </c>
      <c r="G4" s="28">
        <v>1224.08</v>
      </c>
      <c r="H4" s="28">
        <v>19.72</v>
      </c>
      <c r="I4" s="28">
        <v>29.96</v>
      </c>
      <c r="J4" s="28">
        <v>12.08</v>
      </c>
      <c r="K4" s="28">
        <v>5.29</v>
      </c>
      <c r="L4" s="28">
        <v>14.53</v>
      </c>
      <c r="M4" s="28">
        <v>56.38</v>
      </c>
      <c r="N4" s="28">
        <v>42.31</v>
      </c>
      <c r="O4" s="28">
        <v>26.38</v>
      </c>
      <c r="P4" s="28">
        <v>6.0</v>
      </c>
      <c r="Q4" s="28">
        <v>6.82</v>
      </c>
      <c r="R4" s="28">
        <v>6.0</v>
      </c>
      <c r="S4" s="28">
        <v>0.0</v>
      </c>
      <c r="T4" s="28">
        <v>22914.0</v>
      </c>
      <c r="U4" s="28">
        <v>18514.0</v>
      </c>
      <c r="V4" s="28">
        <v>139.61</v>
      </c>
      <c r="W4" s="28">
        <v>621.53</v>
      </c>
      <c r="X4" s="28">
        <v>449.03</v>
      </c>
      <c r="Y4" s="28">
        <v>17.15</v>
      </c>
      <c r="Z4" s="28">
        <v>15.44</v>
      </c>
      <c r="AA4" s="28">
        <v>15.52</v>
      </c>
      <c r="AB4" s="28">
        <v>236.09</v>
      </c>
      <c r="AC4" s="42"/>
      <c r="AD4" s="28">
        <v>1.65</v>
      </c>
      <c r="AE4" s="28">
        <v>12.8</v>
      </c>
      <c r="AF4" s="28">
        <v>68.38</v>
      </c>
      <c r="AG4" s="28">
        <v>0.0</v>
      </c>
      <c r="AH4" s="29">
        <f t="shared" si="7"/>
        <v>0.6582109479</v>
      </c>
      <c r="AI4" s="29">
        <f t="shared" si="8"/>
        <v>2.283553875</v>
      </c>
      <c r="AJ4" s="29">
        <f t="shared" si="9"/>
        <v>1.394895664</v>
      </c>
      <c r="AK4" s="29">
        <f t="shared" si="10"/>
        <v>0.01401052219</v>
      </c>
      <c r="AL4" s="29">
        <f t="shared" si="11"/>
        <v>0.01261355467</v>
      </c>
      <c r="AM4" s="29">
        <f t="shared" si="12"/>
        <v>0.01267890988</v>
      </c>
      <c r="AN4" s="29">
        <f t="shared" si="13"/>
        <v>0.59</v>
      </c>
      <c r="AO4" s="29">
        <f t="shared" si="14"/>
        <v>0.013</v>
      </c>
      <c r="AP4" s="29">
        <f t="shared" si="15"/>
        <v>0.269</v>
      </c>
      <c r="AQ4" s="29">
        <f t="shared" si="16"/>
        <v>0.526</v>
      </c>
      <c r="AR4" s="29">
        <f t="shared" si="17"/>
        <v>0.038</v>
      </c>
      <c r="AS4" s="29">
        <f t="shared" si="18"/>
        <v>0.769</v>
      </c>
      <c r="AT4" s="29">
        <f t="shared" si="19"/>
        <v>0.051</v>
      </c>
      <c r="AU4" s="29">
        <f t="shared" si="20"/>
        <v>0.31985</v>
      </c>
      <c r="AV4" s="29">
        <f t="shared" si="21"/>
        <v>0.974</v>
      </c>
      <c r="AW4" s="29">
        <f t="shared" si="22"/>
        <v>0.936</v>
      </c>
      <c r="AX4" s="29">
        <f t="shared" si="23"/>
        <v>0.962</v>
      </c>
      <c r="AY4" s="29">
        <f t="shared" si="24"/>
        <v>0</v>
      </c>
      <c r="AZ4" s="29">
        <f t="shared" si="25"/>
        <v>0.756</v>
      </c>
      <c r="BA4" s="29">
        <f t="shared" si="26"/>
        <v>0.6781</v>
      </c>
      <c r="BB4" s="29">
        <f t="shared" si="27"/>
        <v>1</v>
      </c>
      <c r="BC4" s="29" t="str">
        <f t="shared" si="28"/>
        <v/>
      </c>
      <c r="BD4" s="29">
        <f t="shared" si="29"/>
        <v>0.603</v>
      </c>
      <c r="BE4" s="29">
        <f t="shared" si="30"/>
        <v>0.987</v>
      </c>
      <c r="BF4" s="29">
        <f t="shared" si="31"/>
        <v>1</v>
      </c>
      <c r="BG4" s="29">
        <f t="shared" si="32"/>
        <v>0.628</v>
      </c>
      <c r="BH4" s="29">
        <f t="shared" si="33"/>
        <v>0.9057058824</v>
      </c>
      <c r="BI4" s="29">
        <f t="shared" si="34"/>
        <v>0.231</v>
      </c>
      <c r="BJ4" s="29">
        <f t="shared" si="35"/>
        <v>0.949</v>
      </c>
      <c r="BK4" s="29">
        <f t="shared" si="36"/>
        <v>0.974</v>
      </c>
      <c r="BL4" s="29">
        <f t="shared" si="37"/>
        <v>0.8462264706</v>
      </c>
      <c r="BM4" s="29">
        <f t="shared" si="38"/>
        <v>1</v>
      </c>
      <c r="BN4" s="30">
        <f t="shared" si="39"/>
        <v>1</v>
      </c>
      <c r="BO4" s="29">
        <f t="shared" si="40"/>
        <v>1</v>
      </c>
      <c r="BP4" s="29">
        <f t="shared" si="41"/>
        <v>0.077</v>
      </c>
      <c r="BQ4" s="29">
        <f t="shared" si="42"/>
        <v>0.1767</v>
      </c>
      <c r="BR4" s="31" t="str">
        <f t="shared" si="43"/>
        <v>High</v>
      </c>
      <c r="BS4" s="29">
        <f t="shared" si="44"/>
        <v>0.4685113235</v>
      </c>
      <c r="BT4" s="31" t="str">
        <f t="shared" si="45"/>
        <v>N</v>
      </c>
      <c r="BU4" s="31" t="str">
        <f t="shared" si="46"/>
        <v>Y</v>
      </c>
      <c r="BV4" s="31" t="str">
        <f t="shared" si="47"/>
        <v>Y</v>
      </c>
      <c r="BW4" s="31" t="str">
        <f t="shared" si="48"/>
        <v>Y</v>
      </c>
      <c r="BX4" s="31" t="str">
        <f t="shared" si="49"/>
        <v>N</v>
      </c>
      <c r="BY4" s="30" t="str">
        <f t="shared" si="50"/>
        <v/>
      </c>
      <c r="BZ4" s="32" t="str">
        <f t="shared" si="51"/>
        <v/>
      </c>
      <c r="CA4" s="9">
        <f t="shared" ref="CA4:CG4" si="63">IF(ISNUMBER(F4),F4,IFERROR(VALUE(SUBSTITUTE(SUBSTITUTE(SUBSTITUTE(SUBSTITUTE(F4,"(","-"),")",""),",","")," ","")),"" ))</f>
        <v>626.35</v>
      </c>
      <c r="CB4" s="9">
        <f t="shared" si="63"/>
        <v>1224.08</v>
      </c>
      <c r="CC4" s="9">
        <f t="shared" si="63"/>
        <v>19.72</v>
      </c>
      <c r="CD4" s="9">
        <f t="shared" si="63"/>
        <v>29.96</v>
      </c>
      <c r="CE4" s="9">
        <f t="shared" si="63"/>
        <v>12.08</v>
      </c>
      <c r="CF4" s="9">
        <f t="shared" si="63"/>
        <v>5.29</v>
      </c>
      <c r="CG4" s="9">
        <f t="shared" si="63"/>
        <v>14.53</v>
      </c>
      <c r="CH4" s="9">
        <f t="shared" si="53"/>
        <v>236.09</v>
      </c>
      <c r="CI4" s="9">
        <f t="shared" ref="CI4:CK4" si="64">IF(ISNUMBER(M4),M4,IFERROR(VALUE(SUBSTITUTE(SUBSTITUTE(SUBSTITUTE(SUBSTITUTE(SUBSTITUTE(M4,"(","-"),")",""),"%",""),",","")," ","")),"" ))</f>
        <v>56.38</v>
      </c>
      <c r="CJ4" s="9">
        <f t="shared" si="64"/>
        <v>42.31</v>
      </c>
      <c r="CK4" s="9">
        <f t="shared" si="64"/>
        <v>26.38</v>
      </c>
      <c r="CL4" s="9">
        <f t="shared" si="55"/>
        <v>6</v>
      </c>
      <c r="CM4" s="9">
        <f t="shared" si="56"/>
        <v>6.82</v>
      </c>
      <c r="CN4" s="9">
        <f t="shared" ref="CN4:CO4" si="65">IF(ISNUMBER(R4),R4,IFERROR(VALUE(SUBSTITUTE(SUBSTITUTE(SUBSTITUTE(SUBSTITUTE(R4,"(","-"),")",""),",","")," ","")),"" ))</f>
        <v>6</v>
      </c>
      <c r="CO4" s="9">
        <f t="shared" si="65"/>
        <v>0</v>
      </c>
      <c r="CP4" s="9">
        <f t="shared" ref="CP4:CR4" si="66">IF(ISNUMBER(AC4),AC4,IFERROR(VALUE(SUBSTITUTE(SUBSTITUTE(SUBSTITUTE(SUBSTITUTE(AC4,"(","-"),")",""),",","")," ","")),"" ))</f>
        <v>0</v>
      </c>
      <c r="CQ4" s="9">
        <f t="shared" si="66"/>
        <v>1.65</v>
      </c>
      <c r="CR4" s="9">
        <f t="shared" si="66"/>
        <v>12.8</v>
      </c>
      <c r="CS4" s="9">
        <f t="shared" ref="CS4:CT4" si="67">IF(ISNUMBER(AF4),AF4,IFERROR(VALUE(SUBSTITUTE(SUBSTITUTE(SUBSTITUTE(SUBSTITUTE(SUBSTITUTE(AF4,"(","-"),")",""),"%",""),",","")," ","")),"" ))</f>
        <v>68.38</v>
      </c>
      <c r="CT4" s="9">
        <f t="shared" si="67"/>
        <v>0</v>
      </c>
      <c r="CU4" s="9">
        <f t="shared" si="60"/>
        <v>18514</v>
      </c>
      <c r="CV4" s="9">
        <f t="shared" si="61"/>
        <v>139.61</v>
      </c>
      <c r="CW4" s="9">
        <f t="shared" ref="CW4:DA4" si="68">IF(ISNUMBER(W4),W4,IFERROR(VALUE(SUBSTITUTE(SUBSTITUTE(SUBSTITUTE(SUBSTITUTE(W4,"(","-"),")",""),",","")," ","")),"" ))</f>
        <v>621.53</v>
      </c>
      <c r="CX4" s="9">
        <f t="shared" si="68"/>
        <v>449.03</v>
      </c>
      <c r="CY4" s="9">
        <f t="shared" si="68"/>
        <v>17.15</v>
      </c>
      <c r="CZ4" s="9">
        <f t="shared" si="68"/>
        <v>15.44</v>
      </c>
      <c r="DA4" s="9">
        <f t="shared" si="68"/>
        <v>15.52</v>
      </c>
    </row>
    <row r="5" ht="15.75" customHeight="1">
      <c r="A5" s="33">
        <v>4.0</v>
      </c>
      <c r="B5" s="34" t="s">
        <v>37</v>
      </c>
      <c r="C5" s="12" t="s">
        <v>38</v>
      </c>
      <c r="D5" s="13" t="s">
        <v>39</v>
      </c>
      <c r="E5" s="35" t="s">
        <v>40</v>
      </c>
      <c r="F5" s="36">
        <v>362.85</v>
      </c>
      <c r="G5" s="36">
        <v>66642.18</v>
      </c>
      <c r="H5" s="36">
        <v>10.85</v>
      </c>
      <c r="I5" s="36">
        <v>17.36</v>
      </c>
      <c r="J5" s="36">
        <v>3.36</v>
      </c>
      <c r="K5" s="36">
        <v>1.92</v>
      </c>
      <c r="L5" s="36">
        <v>6.63</v>
      </c>
      <c r="M5" s="36">
        <v>43.96</v>
      </c>
      <c r="N5" s="36">
        <v>32.72</v>
      </c>
      <c r="O5" s="36">
        <v>25.01</v>
      </c>
      <c r="P5" s="36">
        <v>6.0</v>
      </c>
      <c r="Q5" s="36">
        <v>14.02</v>
      </c>
      <c r="R5" s="36">
        <v>9.0</v>
      </c>
      <c r="S5" s="36">
        <v>0.0</v>
      </c>
      <c r="T5" s="36">
        <v>9398512.0</v>
      </c>
      <c r="U5" s="36">
        <v>1.2577835E7</v>
      </c>
      <c r="V5" s="36">
        <v>75.57</v>
      </c>
      <c r="W5" s="36">
        <v>341.07</v>
      </c>
      <c r="X5" s="36">
        <v>269.28</v>
      </c>
      <c r="Y5" s="36">
        <v>15591.42</v>
      </c>
      <c r="Z5" s="36">
        <v>8776.09</v>
      </c>
      <c r="AA5" s="36">
        <v>5098.87</v>
      </c>
      <c r="AB5" s="36">
        <v>39.21</v>
      </c>
      <c r="AC5" s="36">
        <v>76.71</v>
      </c>
      <c r="AD5" s="36">
        <v>2.4</v>
      </c>
      <c r="AE5" s="36">
        <v>7.54</v>
      </c>
      <c r="AF5" s="36">
        <v>51.28</v>
      </c>
      <c r="AG5" s="36">
        <v>0.0</v>
      </c>
      <c r="AH5" s="38">
        <f t="shared" si="7"/>
        <v>0.625</v>
      </c>
      <c r="AI5" s="38">
        <f t="shared" si="8"/>
        <v>1.75</v>
      </c>
      <c r="AJ5" s="38">
        <f t="shared" si="9"/>
        <v>1.347482175</v>
      </c>
      <c r="AK5" s="38">
        <f t="shared" si="10"/>
        <v>0.2339572325</v>
      </c>
      <c r="AL5" s="38">
        <f t="shared" si="11"/>
        <v>0.1316897196</v>
      </c>
      <c r="AM5" s="38">
        <f t="shared" si="12"/>
        <v>0.07651115255</v>
      </c>
      <c r="AN5" s="38">
        <f t="shared" si="13"/>
        <v>0.962</v>
      </c>
      <c r="AO5" s="38">
        <f t="shared" si="14"/>
        <v>0.538</v>
      </c>
      <c r="AP5" s="38">
        <f t="shared" si="15"/>
        <v>0.949</v>
      </c>
      <c r="AQ5" s="38">
        <f t="shared" si="16"/>
        <v>0.974</v>
      </c>
      <c r="AR5" s="38">
        <f t="shared" si="17"/>
        <v>0.372</v>
      </c>
      <c r="AS5" s="38">
        <f t="shared" si="18"/>
        <v>0.833</v>
      </c>
      <c r="AT5" s="38">
        <f t="shared" si="19"/>
        <v>0.256</v>
      </c>
      <c r="AU5" s="38">
        <f t="shared" si="20"/>
        <v>0.746475</v>
      </c>
      <c r="AV5" s="38">
        <f t="shared" si="21"/>
        <v>0.962</v>
      </c>
      <c r="AW5" s="38">
        <f t="shared" si="22"/>
        <v>0.923</v>
      </c>
      <c r="AX5" s="38">
        <f t="shared" si="23"/>
        <v>0.949</v>
      </c>
      <c r="AY5" s="38">
        <f t="shared" si="24"/>
        <v>0.897</v>
      </c>
      <c r="AZ5" s="38">
        <f t="shared" si="25"/>
        <v>0.756</v>
      </c>
      <c r="BA5" s="38">
        <f t="shared" si="26"/>
        <v>0.89545</v>
      </c>
      <c r="BB5" s="38">
        <f t="shared" si="27"/>
        <v>1</v>
      </c>
      <c r="BC5" s="38">
        <f t="shared" si="28"/>
        <v>0.821</v>
      </c>
      <c r="BD5" s="38">
        <f t="shared" si="29"/>
        <v>0.744</v>
      </c>
      <c r="BE5" s="38">
        <f t="shared" si="30"/>
        <v>0.769</v>
      </c>
      <c r="BF5" s="38">
        <f t="shared" si="31"/>
        <v>1</v>
      </c>
      <c r="BG5" s="38">
        <f t="shared" si="32"/>
        <v>0.192</v>
      </c>
      <c r="BH5" s="38">
        <f t="shared" si="33"/>
        <v>0.809</v>
      </c>
      <c r="BI5" s="38">
        <f t="shared" si="34"/>
        <v>0.167</v>
      </c>
      <c r="BJ5" s="38">
        <f t="shared" si="35"/>
        <v>0.744</v>
      </c>
      <c r="BK5" s="38">
        <f t="shared" si="36"/>
        <v>0.949</v>
      </c>
      <c r="BL5" s="38">
        <f t="shared" si="37"/>
        <v>0.66945</v>
      </c>
      <c r="BM5" s="38">
        <f t="shared" si="38"/>
        <v>0.962</v>
      </c>
      <c r="BN5" s="39">
        <f t="shared" si="39"/>
        <v>1</v>
      </c>
      <c r="BO5" s="38">
        <f t="shared" si="40"/>
        <v>0.981</v>
      </c>
      <c r="BP5" s="38">
        <f t="shared" si="41"/>
        <v>0.962</v>
      </c>
      <c r="BQ5" s="38">
        <f t="shared" si="42"/>
        <v>0.2614</v>
      </c>
      <c r="BR5" s="40" t="str">
        <f t="shared" si="43"/>
        <v>High</v>
      </c>
      <c r="BS5" s="38">
        <f t="shared" si="44"/>
        <v>0.5400225</v>
      </c>
      <c r="BT5" s="40" t="str">
        <f t="shared" si="45"/>
        <v>Y</v>
      </c>
      <c r="BU5" s="40" t="str">
        <f t="shared" si="46"/>
        <v>Y</v>
      </c>
      <c r="BV5" s="40" t="str">
        <f t="shared" si="47"/>
        <v>Y</v>
      </c>
      <c r="BW5" s="40" t="str">
        <f t="shared" si="48"/>
        <v>Y</v>
      </c>
      <c r="BX5" s="40" t="str">
        <f t="shared" si="49"/>
        <v>Y</v>
      </c>
      <c r="BY5" s="39">
        <f t="shared" si="50"/>
        <v>15</v>
      </c>
      <c r="BZ5" s="41">
        <f t="shared" si="51"/>
        <v>0.04</v>
      </c>
      <c r="CA5" s="12">
        <f t="shared" ref="CA5:CG5" si="69">IF(ISNUMBER(F5),F5,IFERROR(VALUE(SUBSTITUTE(SUBSTITUTE(SUBSTITUTE(SUBSTITUTE(F5,"(","-"),")",""),",","")," ","")),"" ))</f>
        <v>362.85</v>
      </c>
      <c r="CB5" s="12">
        <f t="shared" si="69"/>
        <v>66642.18</v>
      </c>
      <c r="CC5" s="12">
        <f t="shared" si="69"/>
        <v>10.85</v>
      </c>
      <c r="CD5" s="12">
        <f t="shared" si="69"/>
        <v>17.36</v>
      </c>
      <c r="CE5" s="12">
        <f t="shared" si="69"/>
        <v>3.36</v>
      </c>
      <c r="CF5" s="12">
        <f t="shared" si="69"/>
        <v>1.92</v>
      </c>
      <c r="CG5" s="12">
        <f t="shared" si="69"/>
        <v>6.63</v>
      </c>
      <c r="CH5" s="12">
        <f t="shared" si="53"/>
        <v>39.21</v>
      </c>
      <c r="CI5" s="12">
        <f t="shared" ref="CI5:CK5" si="70">IF(ISNUMBER(M5),M5,IFERROR(VALUE(SUBSTITUTE(SUBSTITUTE(SUBSTITUTE(SUBSTITUTE(SUBSTITUTE(M5,"(","-"),")",""),"%",""),",","")," ","")),"" ))</f>
        <v>43.96</v>
      </c>
      <c r="CJ5" s="12">
        <f t="shared" si="70"/>
        <v>32.72</v>
      </c>
      <c r="CK5" s="12">
        <f t="shared" si="70"/>
        <v>25.01</v>
      </c>
      <c r="CL5" s="12">
        <f t="shared" si="55"/>
        <v>6</v>
      </c>
      <c r="CM5" s="12">
        <f t="shared" si="56"/>
        <v>14.02</v>
      </c>
      <c r="CN5" s="12">
        <f t="shared" ref="CN5:CO5" si="71">IF(ISNUMBER(R5),R5,IFERROR(VALUE(SUBSTITUTE(SUBSTITUTE(SUBSTITUTE(SUBSTITUTE(R5,"(","-"),")",""),",","")," ","")),"" ))</f>
        <v>9</v>
      </c>
      <c r="CO5" s="12">
        <f t="shared" si="71"/>
        <v>0</v>
      </c>
      <c r="CP5" s="12">
        <f t="shared" ref="CP5:CR5" si="72">IF(ISNUMBER(AC5),AC5,IFERROR(VALUE(SUBSTITUTE(SUBSTITUTE(SUBSTITUTE(SUBSTITUTE(AC5,"(","-"),")",""),",","")," ","")),"" ))</f>
        <v>76.71</v>
      </c>
      <c r="CQ5" s="12">
        <f t="shared" si="72"/>
        <v>2.4</v>
      </c>
      <c r="CR5" s="12">
        <f t="shared" si="72"/>
        <v>7.54</v>
      </c>
      <c r="CS5" s="12">
        <f t="shared" ref="CS5:CT5" si="73">IF(ISNUMBER(AF5),AF5,IFERROR(VALUE(SUBSTITUTE(SUBSTITUTE(SUBSTITUTE(SUBSTITUTE(SUBSTITUTE(AF5,"(","-"),")",""),"%",""),",","")," ","")),"" ))</f>
        <v>51.28</v>
      </c>
      <c r="CT5" s="12">
        <f t="shared" si="73"/>
        <v>0</v>
      </c>
      <c r="CU5" s="12">
        <f t="shared" si="60"/>
        <v>12577835</v>
      </c>
      <c r="CV5" s="12">
        <f t="shared" si="61"/>
        <v>75.57</v>
      </c>
      <c r="CW5" s="12">
        <f t="shared" ref="CW5:DA5" si="74">IF(ISNUMBER(W5),W5,IFERROR(VALUE(SUBSTITUTE(SUBSTITUTE(SUBSTITUTE(SUBSTITUTE(W5,"(","-"),")",""),",","")," ","")),"" ))</f>
        <v>341.07</v>
      </c>
      <c r="CX5" s="12">
        <f t="shared" si="74"/>
        <v>269.28</v>
      </c>
      <c r="CY5" s="12">
        <f t="shared" si="74"/>
        <v>15591.42</v>
      </c>
      <c r="CZ5" s="12">
        <f t="shared" si="74"/>
        <v>8776.09</v>
      </c>
      <c r="DA5" s="12">
        <f t="shared" si="74"/>
        <v>5098.87</v>
      </c>
    </row>
    <row r="6" ht="15.75" customHeight="1">
      <c r="A6" s="25">
        <v>5.0</v>
      </c>
      <c r="B6" s="26" t="s">
        <v>76</v>
      </c>
      <c r="C6" s="9" t="s">
        <v>46</v>
      </c>
      <c r="D6" s="10" t="s">
        <v>77</v>
      </c>
      <c r="E6" s="27" t="s">
        <v>78</v>
      </c>
      <c r="F6" s="28">
        <v>373.55</v>
      </c>
      <c r="G6" s="28">
        <v>995.33</v>
      </c>
      <c r="H6" s="28">
        <v>17.06</v>
      </c>
      <c r="I6" s="28">
        <v>21.77</v>
      </c>
      <c r="J6" s="28">
        <v>4.05</v>
      </c>
      <c r="K6" s="28">
        <v>1.6</v>
      </c>
      <c r="L6" s="28">
        <v>11.45</v>
      </c>
      <c r="M6" s="28">
        <v>41.21</v>
      </c>
      <c r="N6" s="28">
        <v>60.33</v>
      </c>
      <c r="O6" s="28">
        <v>27.85</v>
      </c>
      <c r="P6" s="28">
        <v>6.0</v>
      </c>
      <c r="Q6" s="28">
        <v>7.24</v>
      </c>
      <c r="R6" s="28">
        <v>7.0</v>
      </c>
      <c r="S6" s="28">
        <v>0.18</v>
      </c>
      <c r="T6" s="28">
        <v>71788.0</v>
      </c>
      <c r="U6" s="28">
        <v>202059.0</v>
      </c>
      <c r="V6" s="28">
        <v>75.67</v>
      </c>
      <c r="W6" s="28">
        <v>350.7</v>
      </c>
      <c r="X6" s="28">
        <v>286.54</v>
      </c>
      <c r="Y6" s="42"/>
      <c r="Z6" s="42"/>
      <c r="AA6" s="28">
        <v>-25.44</v>
      </c>
      <c r="AB6" s="28">
        <v>-117.17</v>
      </c>
      <c r="AC6" s="28">
        <v>19.58</v>
      </c>
      <c r="AD6" s="28">
        <v>2.68</v>
      </c>
      <c r="AE6" s="28">
        <v>8.49</v>
      </c>
      <c r="AF6" s="28">
        <v>65.24</v>
      </c>
      <c r="AG6" s="28">
        <v>0.0</v>
      </c>
      <c r="AH6" s="29">
        <f t="shared" si="7"/>
        <v>0.7836472209</v>
      </c>
      <c r="AI6" s="29">
        <f t="shared" si="8"/>
        <v>2.53125</v>
      </c>
      <c r="AJ6" s="29">
        <f t="shared" si="9"/>
        <v>1.30365743</v>
      </c>
      <c r="AK6" s="29">
        <f t="shared" si="10"/>
        <v>0</v>
      </c>
      <c r="AL6" s="29">
        <f t="shared" si="11"/>
        <v>0</v>
      </c>
      <c r="AM6" s="29">
        <f t="shared" si="12"/>
        <v>-0.02555936222</v>
      </c>
      <c r="AN6" s="29">
        <f t="shared" si="13"/>
        <v>0.769</v>
      </c>
      <c r="AO6" s="29">
        <f t="shared" si="14"/>
        <v>0.385</v>
      </c>
      <c r="AP6" s="29">
        <f t="shared" si="15"/>
        <v>0.615</v>
      </c>
      <c r="AQ6" s="29">
        <f t="shared" si="16"/>
        <v>0.603</v>
      </c>
      <c r="AR6" s="29" t="str">
        <f t="shared" si="17"/>
        <v/>
      </c>
      <c r="AS6" s="29">
        <f t="shared" si="18"/>
        <v>0.603</v>
      </c>
      <c r="AT6" s="29">
        <f t="shared" si="19"/>
        <v>0.013</v>
      </c>
      <c r="AU6" s="29">
        <f t="shared" si="20"/>
        <v>0.5543529412</v>
      </c>
      <c r="AV6" s="29">
        <f t="shared" si="21"/>
        <v>0.949</v>
      </c>
      <c r="AW6" s="29">
        <f t="shared" si="22"/>
        <v>0.974</v>
      </c>
      <c r="AX6" s="29">
        <f t="shared" si="23"/>
        <v>0.974</v>
      </c>
      <c r="AY6" s="29">
        <f t="shared" si="24"/>
        <v>0.256</v>
      </c>
      <c r="AZ6" s="29">
        <f t="shared" si="25"/>
        <v>0.756</v>
      </c>
      <c r="BA6" s="29">
        <f t="shared" si="26"/>
        <v>0.74465</v>
      </c>
      <c r="BB6" s="29">
        <f t="shared" si="27"/>
        <v>0.551</v>
      </c>
      <c r="BC6" s="29">
        <f t="shared" si="28"/>
        <v>0.628</v>
      </c>
      <c r="BD6" s="29">
        <f t="shared" si="29"/>
        <v>0.795</v>
      </c>
      <c r="BE6" s="29">
        <f t="shared" si="30"/>
        <v>0.91</v>
      </c>
      <c r="BF6" s="29">
        <f t="shared" si="31"/>
        <v>1</v>
      </c>
      <c r="BG6" s="29">
        <f t="shared" si="32"/>
        <v>0.526</v>
      </c>
      <c r="BH6" s="29">
        <f t="shared" si="33"/>
        <v>0.7191</v>
      </c>
      <c r="BI6" s="29">
        <f t="shared" si="34"/>
        <v>0.397</v>
      </c>
      <c r="BJ6" s="29">
        <f t="shared" si="35"/>
        <v>0.987</v>
      </c>
      <c r="BK6" s="29">
        <f t="shared" si="36"/>
        <v>0.923</v>
      </c>
      <c r="BL6" s="29">
        <f t="shared" si="37"/>
        <v>0.763875</v>
      </c>
      <c r="BM6" s="29">
        <f t="shared" si="38"/>
        <v>0.974</v>
      </c>
      <c r="BN6" s="30">
        <f t="shared" si="39"/>
        <v>1</v>
      </c>
      <c r="BO6" s="29">
        <f t="shared" si="40"/>
        <v>0.987</v>
      </c>
      <c r="BP6" s="29">
        <f t="shared" si="41"/>
        <v>0.41</v>
      </c>
      <c r="BQ6" s="29">
        <f t="shared" si="42"/>
        <v>0.1606</v>
      </c>
      <c r="BR6" s="31" t="str">
        <f t="shared" si="43"/>
        <v>High</v>
      </c>
      <c r="BS6" s="29" t="str">
        <f t="shared" si="44"/>
        <v/>
      </c>
      <c r="BT6" s="31" t="str">
        <f t="shared" si="45"/>
        <v>Y</v>
      </c>
      <c r="BU6" s="31" t="str">
        <f t="shared" si="46"/>
        <v>Y</v>
      </c>
      <c r="BV6" s="31" t="str">
        <f t="shared" si="47"/>
        <v>Y</v>
      </c>
      <c r="BW6" s="31" t="str">
        <f t="shared" si="48"/>
        <v>Y</v>
      </c>
      <c r="BX6" s="31" t="str">
        <f t="shared" si="49"/>
        <v>Y</v>
      </c>
      <c r="BY6" s="30">
        <f t="shared" si="50"/>
        <v>1</v>
      </c>
      <c r="BZ6" s="32">
        <f t="shared" si="51"/>
        <v>0.04</v>
      </c>
      <c r="CA6" s="9">
        <f t="shared" ref="CA6:CG6" si="75">IF(ISNUMBER(F6),F6,IFERROR(VALUE(SUBSTITUTE(SUBSTITUTE(SUBSTITUTE(SUBSTITUTE(F6,"(","-"),")",""),",","")," ","")),"" ))</f>
        <v>373.55</v>
      </c>
      <c r="CB6" s="9">
        <f t="shared" si="75"/>
        <v>995.33</v>
      </c>
      <c r="CC6" s="9">
        <f t="shared" si="75"/>
        <v>17.06</v>
      </c>
      <c r="CD6" s="9">
        <f t="shared" si="75"/>
        <v>21.77</v>
      </c>
      <c r="CE6" s="9">
        <f t="shared" si="75"/>
        <v>4.05</v>
      </c>
      <c r="CF6" s="9">
        <f t="shared" si="75"/>
        <v>1.6</v>
      </c>
      <c r="CG6" s="9">
        <f t="shared" si="75"/>
        <v>11.45</v>
      </c>
      <c r="CH6" s="9">
        <f t="shared" si="53"/>
        <v>-117.17</v>
      </c>
      <c r="CI6" s="9">
        <f t="shared" ref="CI6:CK6" si="76">IF(ISNUMBER(M6),M6,IFERROR(VALUE(SUBSTITUTE(SUBSTITUTE(SUBSTITUTE(SUBSTITUTE(SUBSTITUTE(M6,"(","-"),")",""),"%",""),",","")," ","")),"" ))</f>
        <v>41.21</v>
      </c>
      <c r="CJ6" s="9">
        <f t="shared" si="76"/>
        <v>60.33</v>
      </c>
      <c r="CK6" s="9">
        <f t="shared" si="76"/>
        <v>27.85</v>
      </c>
      <c r="CL6" s="9">
        <f t="shared" si="55"/>
        <v>6</v>
      </c>
      <c r="CM6" s="9">
        <f t="shared" si="56"/>
        <v>7.24</v>
      </c>
      <c r="CN6" s="9">
        <f t="shared" ref="CN6:CO6" si="77">IF(ISNUMBER(R6),R6,IFERROR(VALUE(SUBSTITUTE(SUBSTITUTE(SUBSTITUTE(SUBSTITUTE(R6,"(","-"),")",""),",","")," ","")),"" ))</f>
        <v>7</v>
      </c>
      <c r="CO6" s="9">
        <f t="shared" si="77"/>
        <v>0.18</v>
      </c>
      <c r="CP6" s="9">
        <f t="shared" ref="CP6:CR6" si="78">IF(ISNUMBER(AC6),AC6,IFERROR(VALUE(SUBSTITUTE(SUBSTITUTE(SUBSTITUTE(SUBSTITUTE(AC6,"(","-"),")",""),",","")," ","")),"" ))</f>
        <v>19.58</v>
      </c>
      <c r="CQ6" s="9">
        <f t="shared" si="78"/>
        <v>2.68</v>
      </c>
      <c r="CR6" s="9">
        <f t="shared" si="78"/>
        <v>8.49</v>
      </c>
      <c r="CS6" s="9">
        <f t="shared" ref="CS6:CT6" si="79">IF(ISNUMBER(AF6),AF6,IFERROR(VALUE(SUBSTITUTE(SUBSTITUTE(SUBSTITUTE(SUBSTITUTE(SUBSTITUTE(AF6,"(","-"),")",""),"%",""),",","")," ","")),"" ))</f>
        <v>65.24</v>
      </c>
      <c r="CT6" s="9">
        <f t="shared" si="79"/>
        <v>0</v>
      </c>
      <c r="CU6" s="9">
        <f t="shared" si="60"/>
        <v>202059</v>
      </c>
      <c r="CV6" s="9">
        <f t="shared" si="61"/>
        <v>75.67</v>
      </c>
      <c r="CW6" s="9">
        <f t="shared" ref="CW6:DA6" si="80">IF(ISNUMBER(W6),W6,IFERROR(VALUE(SUBSTITUTE(SUBSTITUTE(SUBSTITUTE(SUBSTITUTE(W6,"(","-"),")",""),",","")," ","")),"" ))</f>
        <v>350.7</v>
      </c>
      <c r="CX6" s="9">
        <f t="shared" si="80"/>
        <v>286.54</v>
      </c>
      <c r="CY6" s="9">
        <f t="shared" si="80"/>
        <v>0</v>
      </c>
      <c r="CZ6" s="9">
        <f t="shared" si="80"/>
        <v>0</v>
      </c>
      <c r="DA6" s="9">
        <f t="shared" si="80"/>
        <v>-25.44</v>
      </c>
    </row>
    <row r="7" ht="15.75" customHeight="1">
      <c r="A7" s="33">
        <v>6.0</v>
      </c>
      <c r="B7" s="34" t="s">
        <v>107</v>
      </c>
      <c r="C7" s="12" t="s">
        <v>55</v>
      </c>
      <c r="D7" s="13" t="s">
        <v>108</v>
      </c>
      <c r="E7" s="35" t="s">
        <v>109</v>
      </c>
      <c r="F7" s="36">
        <v>422.8</v>
      </c>
      <c r="G7" s="36">
        <v>1040.42</v>
      </c>
      <c r="H7" s="36">
        <v>24.67</v>
      </c>
      <c r="I7" s="36">
        <v>27.52</v>
      </c>
      <c r="J7" s="36">
        <v>5.89</v>
      </c>
      <c r="K7" s="36">
        <v>3.29</v>
      </c>
      <c r="L7" s="36">
        <v>16.74</v>
      </c>
      <c r="M7" s="36">
        <v>34.92</v>
      </c>
      <c r="N7" s="36">
        <v>26.89</v>
      </c>
      <c r="O7" s="36">
        <v>16.44</v>
      </c>
      <c r="P7" s="36">
        <v>5.0</v>
      </c>
      <c r="Q7" s="36">
        <v>5.59</v>
      </c>
      <c r="R7" s="36">
        <v>8.0</v>
      </c>
      <c r="S7" s="36">
        <v>0.04</v>
      </c>
      <c r="T7" s="36">
        <v>130334.0</v>
      </c>
      <c r="U7" s="36">
        <v>777428.0</v>
      </c>
      <c r="V7" s="36">
        <v>4.43</v>
      </c>
      <c r="W7" s="36">
        <v>419.25</v>
      </c>
      <c r="X7" s="36">
        <v>434.58</v>
      </c>
      <c r="Y7" s="36">
        <v>168.62</v>
      </c>
      <c r="Z7" s="36">
        <v>162.85</v>
      </c>
      <c r="AA7" s="36">
        <v>105.17</v>
      </c>
      <c r="AB7" s="36">
        <v>29.67</v>
      </c>
      <c r="AC7" s="36">
        <v>111.82</v>
      </c>
      <c r="AD7" s="36">
        <v>0.76</v>
      </c>
      <c r="AE7" s="36">
        <v>9.03</v>
      </c>
      <c r="AF7" s="36">
        <v>62.45</v>
      </c>
      <c r="AG7" s="36">
        <v>0.0</v>
      </c>
      <c r="AH7" s="38">
        <f t="shared" si="7"/>
        <v>0.8964389535</v>
      </c>
      <c r="AI7" s="38">
        <f t="shared" si="8"/>
        <v>1.790273556</v>
      </c>
      <c r="AJ7" s="38">
        <f t="shared" si="9"/>
        <v>0.9728933683</v>
      </c>
      <c r="AK7" s="38">
        <f t="shared" si="10"/>
        <v>0.1620691644</v>
      </c>
      <c r="AL7" s="38">
        <f t="shared" si="11"/>
        <v>0.1565233271</v>
      </c>
      <c r="AM7" s="38">
        <f t="shared" si="12"/>
        <v>0.1010841775</v>
      </c>
      <c r="AN7" s="38">
        <f t="shared" si="13"/>
        <v>0.346</v>
      </c>
      <c r="AO7" s="38">
        <f t="shared" si="14"/>
        <v>0.09</v>
      </c>
      <c r="AP7" s="38">
        <f t="shared" si="15"/>
        <v>0.167</v>
      </c>
      <c r="AQ7" s="38">
        <f t="shared" si="16"/>
        <v>0.333</v>
      </c>
      <c r="AR7" s="38">
        <f t="shared" si="17"/>
        <v>0.449</v>
      </c>
      <c r="AS7" s="38">
        <f t="shared" si="18"/>
        <v>0.474</v>
      </c>
      <c r="AT7" s="38">
        <f t="shared" si="19"/>
        <v>0.192</v>
      </c>
      <c r="AU7" s="38">
        <f t="shared" si="20"/>
        <v>0.28335</v>
      </c>
      <c r="AV7" s="38">
        <f t="shared" si="21"/>
        <v>0.936</v>
      </c>
      <c r="AW7" s="38">
        <f t="shared" si="22"/>
        <v>0.846</v>
      </c>
      <c r="AX7" s="38">
        <f t="shared" si="23"/>
        <v>0.859</v>
      </c>
      <c r="AY7" s="38">
        <f t="shared" si="24"/>
        <v>0.551</v>
      </c>
      <c r="AZ7" s="38">
        <f t="shared" si="25"/>
        <v>0.577</v>
      </c>
      <c r="BA7" s="38">
        <f t="shared" si="26"/>
        <v>0.74225</v>
      </c>
      <c r="BB7" s="38">
        <f t="shared" si="27"/>
        <v>0.744</v>
      </c>
      <c r="BC7" s="38">
        <f t="shared" si="28"/>
        <v>0.885</v>
      </c>
      <c r="BD7" s="38">
        <f t="shared" si="29"/>
        <v>0.205</v>
      </c>
      <c r="BE7" s="38">
        <f t="shared" si="30"/>
        <v>0.949</v>
      </c>
      <c r="BF7" s="38">
        <f t="shared" si="31"/>
        <v>1</v>
      </c>
      <c r="BG7" s="38">
        <f t="shared" si="32"/>
        <v>0.449</v>
      </c>
      <c r="BH7" s="38">
        <f t="shared" si="33"/>
        <v>0.7586</v>
      </c>
      <c r="BI7" s="38">
        <f t="shared" si="34"/>
        <v>0.526</v>
      </c>
      <c r="BJ7" s="38">
        <f t="shared" si="35"/>
        <v>0.808</v>
      </c>
      <c r="BK7" s="38">
        <f t="shared" si="36"/>
        <v>0.141</v>
      </c>
      <c r="BL7" s="38">
        <f t="shared" si="37"/>
        <v>0.7468</v>
      </c>
      <c r="BM7" s="38">
        <f t="shared" si="38"/>
        <v>0.41</v>
      </c>
      <c r="BN7" s="39">
        <f t="shared" si="39"/>
        <v>1</v>
      </c>
      <c r="BO7" s="38">
        <f t="shared" si="40"/>
        <v>0.705</v>
      </c>
      <c r="BP7" s="38">
        <f t="shared" si="41"/>
        <v>0.692</v>
      </c>
      <c r="BQ7" s="38">
        <f t="shared" si="42"/>
        <v>0.1806</v>
      </c>
      <c r="BR7" s="40" t="str">
        <f t="shared" si="43"/>
        <v>High</v>
      </c>
      <c r="BS7" s="38">
        <f t="shared" si="44"/>
        <v>0.62409</v>
      </c>
      <c r="BT7" s="40" t="str">
        <f t="shared" si="45"/>
        <v>Y</v>
      </c>
      <c r="BU7" s="40" t="str">
        <f t="shared" si="46"/>
        <v>Y</v>
      </c>
      <c r="BV7" s="40" t="str">
        <f t="shared" si="47"/>
        <v>Y</v>
      </c>
      <c r="BW7" s="40" t="str">
        <f t="shared" si="48"/>
        <v>Y</v>
      </c>
      <c r="BX7" s="40" t="str">
        <f t="shared" si="49"/>
        <v>Y</v>
      </c>
      <c r="BY7" s="39">
        <f t="shared" si="50"/>
        <v>3</v>
      </c>
      <c r="BZ7" s="41">
        <f t="shared" si="51"/>
        <v>0.04</v>
      </c>
      <c r="CA7" s="12">
        <f t="shared" ref="CA7:CG7" si="81">IF(ISNUMBER(F7),F7,IFERROR(VALUE(SUBSTITUTE(SUBSTITUTE(SUBSTITUTE(SUBSTITUTE(F7,"(","-"),")",""),",","")," ","")),"" ))</f>
        <v>422.8</v>
      </c>
      <c r="CB7" s="12">
        <f t="shared" si="81"/>
        <v>1040.42</v>
      </c>
      <c r="CC7" s="12">
        <f t="shared" si="81"/>
        <v>24.67</v>
      </c>
      <c r="CD7" s="12">
        <f t="shared" si="81"/>
        <v>27.52</v>
      </c>
      <c r="CE7" s="12">
        <f t="shared" si="81"/>
        <v>5.89</v>
      </c>
      <c r="CF7" s="12">
        <f t="shared" si="81"/>
        <v>3.29</v>
      </c>
      <c r="CG7" s="12">
        <f t="shared" si="81"/>
        <v>16.74</v>
      </c>
      <c r="CH7" s="12">
        <f t="shared" si="53"/>
        <v>29.67</v>
      </c>
      <c r="CI7" s="12">
        <f t="shared" ref="CI7:CK7" si="82">IF(ISNUMBER(M7),M7,IFERROR(VALUE(SUBSTITUTE(SUBSTITUTE(SUBSTITUTE(SUBSTITUTE(SUBSTITUTE(M7,"(","-"),")",""),"%",""),",","")," ","")),"" ))</f>
        <v>34.92</v>
      </c>
      <c r="CJ7" s="12">
        <f t="shared" si="82"/>
        <v>26.89</v>
      </c>
      <c r="CK7" s="12">
        <f t="shared" si="82"/>
        <v>16.44</v>
      </c>
      <c r="CL7" s="12">
        <f t="shared" si="55"/>
        <v>5</v>
      </c>
      <c r="CM7" s="12">
        <f t="shared" si="56"/>
        <v>5.59</v>
      </c>
      <c r="CN7" s="12">
        <f t="shared" ref="CN7:CO7" si="83">IF(ISNUMBER(R7),R7,IFERROR(VALUE(SUBSTITUTE(SUBSTITUTE(SUBSTITUTE(SUBSTITUTE(R7,"(","-"),")",""),",","")," ","")),"" ))</f>
        <v>8</v>
      </c>
      <c r="CO7" s="12">
        <f t="shared" si="83"/>
        <v>0.04</v>
      </c>
      <c r="CP7" s="12">
        <f t="shared" ref="CP7:CR7" si="84">IF(ISNUMBER(AC7),AC7,IFERROR(VALUE(SUBSTITUTE(SUBSTITUTE(SUBSTITUTE(SUBSTITUTE(AC7,"(","-"),")",""),",","")," ","")),"" ))</f>
        <v>111.82</v>
      </c>
      <c r="CQ7" s="12">
        <f t="shared" si="84"/>
        <v>0.76</v>
      </c>
      <c r="CR7" s="12">
        <f t="shared" si="84"/>
        <v>9.03</v>
      </c>
      <c r="CS7" s="12">
        <f t="shared" ref="CS7:CT7" si="85">IF(ISNUMBER(AF7),AF7,IFERROR(VALUE(SUBSTITUTE(SUBSTITUTE(SUBSTITUTE(SUBSTITUTE(SUBSTITUTE(AF7,"(","-"),")",""),"%",""),",","")," ","")),"" ))</f>
        <v>62.45</v>
      </c>
      <c r="CT7" s="12">
        <f t="shared" si="85"/>
        <v>0</v>
      </c>
      <c r="CU7" s="12">
        <f t="shared" si="60"/>
        <v>777428</v>
      </c>
      <c r="CV7" s="12">
        <f t="shared" si="61"/>
        <v>4.43</v>
      </c>
      <c r="CW7" s="12">
        <f t="shared" ref="CW7:DA7" si="86">IF(ISNUMBER(W7),W7,IFERROR(VALUE(SUBSTITUTE(SUBSTITUTE(SUBSTITUTE(SUBSTITUTE(W7,"(","-"),")",""),",","")," ","")),"" ))</f>
        <v>419.25</v>
      </c>
      <c r="CX7" s="12">
        <f t="shared" si="86"/>
        <v>434.58</v>
      </c>
      <c r="CY7" s="12">
        <f t="shared" si="86"/>
        <v>168.62</v>
      </c>
      <c r="CZ7" s="12">
        <f t="shared" si="86"/>
        <v>162.85</v>
      </c>
      <c r="DA7" s="12">
        <f t="shared" si="86"/>
        <v>105.17</v>
      </c>
    </row>
    <row r="8" ht="15.75" customHeight="1">
      <c r="A8" s="25">
        <v>7.0</v>
      </c>
      <c r="B8" s="26" t="s">
        <v>32</v>
      </c>
      <c r="C8" s="9" t="s">
        <v>33</v>
      </c>
      <c r="D8" s="10" t="s">
        <v>34</v>
      </c>
      <c r="E8" s="27" t="s">
        <v>35</v>
      </c>
      <c r="F8" s="28">
        <v>956.25</v>
      </c>
      <c r="G8" s="28">
        <v>17127.38</v>
      </c>
      <c r="H8" s="28">
        <v>11.0</v>
      </c>
      <c r="I8" s="28">
        <v>27.72</v>
      </c>
      <c r="J8" s="28">
        <v>1.98</v>
      </c>
      <c r="K8" s="28">
        <v>3.06</v>
      </c>
      <c r="L8" s="28">
        <v>6.86</v>
      </c>
      <c r="M8" s="28">
        <v>32.78</v>
      </c>
      <c r="N8" s="28">
        <v>28.0</v>
      </c>
      <c r="O8" s="28">
        <v>24.23</v>
      </c>
      <c r="P8" s="28">
        <v>4.0</v>
      </c>
      <c r="Q8" s="28">
        <v>12.85</v>
      </c>
      <c r="R8" s="28">
        <v>8.0</v>
      </c>
      <c r="S8" s="28">
        <v>0.03</v>
      </c>
      <c r="T8" s="28">
        <v>1128336.0</v>
      </c>
      <c r="U8" s="28">
        <v>1290101.0</v>
      </c>
      <c r="V8" s="28">
        <v>11.77</v>
      </c>
      <c r="W8" s="28">
        <v>882.98</v>
      </c>
      <c r="X8" s="28">
        <v>903.35</v>
      </c>
      <c r="Y8" s="28">
        <v>4102.8</v>
      </c>
      <c r="Z8" s="28">
        <v>2778.5</v>
      </c>
      <c r="AA8" s="28">
        <v>2829.2</v>
      </c>
      <c r="AB8" s="28">
        <v>18.16</v>
      </c>
      <c r="AC8" s="28">
        <v>52.46</v>
      </c>
      <c r="AD8" s="28">
        <v>3.62</v>
      </c>
      <c r="AE8" s="28">
        <v>5.43</v>
      </c>
      <c r="AF8" s="28">
        <v>49.48</v>
      </c>
      <c r="AG8" s="28">
        <v>0.0</v>
      </c>
      <c r="AH8" s="29">
        <f t="shared" si="7"/>
        <v>0.3968253968</v>
      </c>
      <c r="AI8" s="29">
        <f t="shared" si="8"/>
        <v>0.6470588235</v>
      </c>
      <c r="AJ8" s="29">
        <f t="shared" si="9"/>
        <v>1.058559805</v>
      </c>
      <c r="AK8" s="29">
        <f t="shared" si="10"/>
        <v>0.2395462704</v>
      </c>
      <c r="AL8" s="29">
        <f t="shared" si="11"/>
        <v>0.1622256294</v>
      </c>
      <c r="AM8" s="29">
        <f t="shared" si="12"/>
        <v>0.1651858019</v>
      </c>
      <c r="AN8" s="29">
        <f t="shared" si="13"/>
        <v>0.936</v>
      </c>
      <c r="AO8" s="29">
        <f t="shared" si="14"/>
        <v>0.872</v>
      </c>
      <c r="AP8" s="29">
        <f t="shared" si="15"/>
        <v>0.91</v>
      </c>
      <c r="AQ8" s="29">
        <f t="shared" si="16"/>
        <v>0.936</v>
      </c>
      <c r="AR8" s="29">
        <f t="shared" si="17"/>
        <v>0.705</v>
      </c>
      <c r="AS8" s="29">
        <f t="shared" si="18"/>
        <v>0.974</v>
      </c>
      <c r="AT8" s="29">
        <f t="shared" si="19"/>
        <v>0.962</v>
      </c>
      <c r="AU8" s="29">
        <f t="shared" si="20"/>
        <v>0.89135</v>
      </c>
      <c r="AV8" s="29">
        <f t="shared" si="21"/>
        <v>0.923</v>
      </c>
      <c r="AW8" s="29">
        <f t="shared" si="22"/>
        <v>0.885</v>
      </c>
      <c r="AX8" s="29">
        <f t="shared" si="23"/>
        <v>0.936</v>
      </c>
      <c r="AY8" s="29">
        <f t="shared" si="24"/>
        <v>0.551</v>
      </c>
      <c r="AZ8" s="29">
        <f t="shared" si="25"/>
        <v>0.308</v>
      </c>
      <c r="BA8" s="29">
        <f t="shared" si="26"/>
        <v>0.7007</v>
      </c>
      <c r="BB8" s="29">
        <f t="shared" si="27"/>
        <v>0.795</v>
      </c>
      <c r="BC8" s="29">
        <f t="shared" si="28"/>
        <v>0.769</v>
      </c>
      <c r="BD8" s="29">
        <f t="shared" si="29"/>
        <v>0.885</v>
      </c>
      <c r="BE8" s="29">
        <f t="shared" si="30"/>
        <v>0.397</v>
      </c>
      <c r="BF8" s="29">
        <f t="shared" si="31"/>
        <v>1</v>
      </c>
      <c r="BG8" s="29">
        <f t="shared" si="32"/>
        <v>0.115</v>
      </c>
      <c r="BH8" s="29">
        <f t="shared" si="33"/>
        <v>0.6531</v>
      </c>
      <c r="BI8" s="29">
        <f t="shared" si="34"/>
        <v>0.026</v>
      </c>
      <c r="BJ8" s="29">
        <f t="shared" si="35"/>
        <v>0.038</v>
      </c>
      <c r="BK8" s="29">
        <f t="shared" si="36"/>
        <v>0.513</v>
      </c>
      <c r="BL8" s="29">
        <f t="shared" si="37"/>
        <v>0.603525</v>
      </c>
      <c r="BM8" s="29">
        <f t="shared" si="38"/>
        <v>0.564</v>
      </c>
      <c r="BN8" s="30">
        <f t="shared" si="39"/>
        <v>1</v>
      </c>
      <c r="BO8" s="29">
        <f t="shared" si="40"/>
        <v>0.782</v>
      </c>
      <c r="BP8" s="29">
        <f t="shared" si="41"/>
        <v>0.808</v>
      </c>
      <c r="BQ8" s="29">
        <f t="shared" si="42"/>
        <v>0.4077</v>
      </c>
      <c r="BR8" s="31" t="str">
        <f t="shared" si="43"/>
        <v>High</v>
      </c>
      <c r="BS8" s="29">
        <f t="shared" si="44"/>
        <v>0.57817625</v>
      </c>
      <c r="BT8" s="31" t="str">
        <f t="shared" si="45"/>
        <v>Y</v>
      </c>
      <c r="BU8" s="31" t="str">
        <f t="shared" si="46"/>
        <v>Y</v>
      </c>
      <c r="BV8" s="31" t="str">
        <f t="shared" si="47"/>
        <v>Y</v>
      </c>
      <c r="BW8" s="31" t="str">
        <f t="shared" si="48"/>
        <v>Y</v>
      </c>
      <c r="BX8" s="31" t="str">
        <f t="shared" si="49"/>
        <v>Y</v>
      </c>
      <c r="BY8" s="30">
        <f t="shared" si="50"/>
        <v>7</v>
      </c>
      <c r="BZ8" s="32">
        <f t="shared" si="51"/>
        <v>0.04</v>
      </c>
      <c r="CA8" s="9">
        <f t="shared" ref="CA8:CG8" si="87">IF(ISNUMBER(F8),F8,IFERROR(VALUE(SUBSTITUTE(SUBSTITUTE(SUBSTITUTE(SUBSTITUTE(F8,"(","-"),")",""),",","")," ","")),"" ))</f>
        <v>956.25</v>
      </c>
      <c r="CB8" s="9">
        <f t="shared" si="87"/>
        <v>17127.38</v>
      </c>
      <c r="CC8" s="9">
        <f t="shared" si="87"/>
        <v>11</v>
      </c>
      <c r="CD8" s="9">
        <f t="shared" si="87"/>
        <v>27.72</v>
      </c>
      <c r="CE8" s="9">
        <f t="shared" si="87"/>
        <v>1.98</v>
      </c>
      <c r="CF8" s="9">
        <f t="shared" si="87"/>
        <v>3.06</v>
      </c>
      <c r="CG8" s="9">
        <f t="shared" si="87"/>
        <v>6.86</v>
      </c>
      <c r="CH8" s="9">
        <f t="shared" si="53"/>
        <v>18.16</v>
      </c>
      <c r="CI8" s="9">
        <f t="shared" ref="CI8:CK8" si="88">IF(ISNUMBER(M8),M8,IFERROR(VALUE(SUBSTITUTE(SUBSTITUTE(SUBSTITUTE(SUBSTITUTE(SUBSTITUTE(M8,"(","-"),")",""),"%",""),",","")," ","")),"" ))</f>
        <v>32.78</v>
      </c>
      <c r="CJ8" s="9">
        <f t="shared" si="88"/>
        <v>28</v>
      </c>
      <c r="CK8" s="9">
        <f t="shared" si="88"/>
        <v>24.23</v>
      </c>
      <c r="CL8" s="9">
        <f t="shared" si="55"/>
        <v>4</v>
      </c>
      <c r="CM8" s="9">
        <f t="shared" si="56"/>
        <v>12.85</v>
      </c>
      <c r="CN8" s="9">
        <f t="shared" ref="CN8:CO8" si="89">IF(ISNUMBER(R8),R8,IFERROR(VALUE(SUBSTITUTE(SUBSTITUTE(SUBSTITUTE(SUBSTITUTE(R8,"(","-"),")",""),",","")," ","")),"" ))</f>
        <v>8</v>
      </c>
      <c r="CO8" s="9">
        <f t="shared" si="89"/>
        <v>0.03</v>
      </c>
      <c r="CP8" s="9">
        <f t="shared" ref="CP8:CR8" si="90">IF(ISNUMBER(AC8),AC8,IFERROR(VALUE(SUBSTITUTE(SUBSTITUTE(SUBSTITUTE(SUBSTITUTE(AC8,"(","-"),")",""),",","")," ","")),"" ))</f>
        <v>52.46</v>
      </c>
      <c r="CQ8" s="9">
        <f t="shared" si="90"/>
        <v>3.62</v>
      </c>
      <c r="CR8" s="9">
        <f t="shared" si="90"/>
        <v>5.43</v>
      </c>
      <c r="CS8" s="9">
        <f t="shared" ref="CS8:CT8" si="91">IF(ISNUMBER(AF8),AF8,IFERROR(VALUE(SUBSTITUTE(SUBSTITUTE(SUBSTITUTE(SUBSTITUTE(SUBSTITUTE(AF8,"(","-"),")",""),"%",""),",","")," ","")),"" ))</f>
        <v>49.48</v>
      </c>
      <c r="CT8" s="9">
        <f t="shared" si="91"/>
        <v>0</v>
      </c>
      <c r="CU8" s="9">
        <f t="shared" si="60"/>
        <v>1290101</v>
      </c>
      <c r="CV8" s="9">
        <f t="shared" si="61"/>
        <v>11.77</v>
      </c>
      <c r="CW8" s="9">
        <f t="shared" ref="CW8:DA8" si="92">IF(ISNUMBER(W8),W8,IFERROR(VALUE(SUBSTITUTE(SUBSTITUTE(SUBSTITUTE(SUBSTITUTE(W8,"(","-"),")",""),",","")," ","")),"" ))</f>
        <v>882.98</v>
      </c>
      <c r="CX8" s="9">
        <f t="shared" si="92"/>
        <v>903.35</v>
      </c>
      <c r="CY8" s="9">
        <f t="shared" si="92"/>
        <v>4102.8</v>
      </c>
      <c r="CZ8" s="9">
        <f t="shared" si="92"/>
        <v>2778.5</v>
      </c>
      <c r="DA8" s="9">
        <f t="shared" si="92"/>
        <v>2829.2</v>
      </c>
    </row>
    <row r="9" ht="15.75" customHeight="1">
      <c r="A9" s="33">
        <v>8.0</v>
      </c>
      <c r="B9" s="34" t="s">
        <v>119</v>
      </c>
      <c r="C9" s="12" t="s">
        <v>46</v>
      </c>
      <c r="D9" s="13" t="s">
        <v>120</v>
      </c>
      <c r="E9" s="35" t="s">
        <v>121</v>
      </c>
      <c r="F9" s="36">
        <v>593.6</v>
      </c>
      <c r="G9" s="36">
        <v>8490.69</v>
      </c>
      <c r="H9" s="36">
        <v>17.77</v>
      </c>
      <c r="I9" s="36">
        <v>27.29</v>
      </c>
      <c r="J9" s="36">
        <v>5.19</v>
      </c>
      <c r="K9" s="36">
        <v>3.26</v>
      </c>
      <c r="L9" s="36">
        <v>11.82</v>
      </c>
      <c r="M9" s="36">
        <v>32.36</v>
      </c>
      <c r="N9" s="36">
        <v>32.18</v>
      </c>
      <c r="O9" s="36">
        <v>16.03</v>
      </c>
      <c r="P9" s="36">
        <v>7.0</v>
      </c>
      <c r="Q9" s="36">
        <v>7.25</v>
      </c>
      <c r="R9" s="36">
        <v>6.0</v>
      </c>
      <c r="S9" s="36">
        <v>0.45</v>
      </c>
      <c r="T9" s="36">
        <v>218679.0</v>
      </c>
      <c r="U9" s="36">
        <v>785363.0</v>
      </c>
      <c r="V9" s="36">
        <v>-2.39</v>
      </c>
      <c r="W9" s="36">
        <v>649.88</v>
      </c>
      <c r="X9" s="36">
        <v>630.72</v>
      </c>
      <c r="Y9" s="36">
        <v>794.99</v>
      </c>
      <c r="Z9" s="36">
        <v>423.72</v>
      </c>
      <c r="AA9" s="36">
        <v>314.27</v>
      </c>
      <c r="AB9" s="36">
        <v>81.03</v>
      </c>
      <c r="AC9" s="36">
        <v>21.41</v>
      </c>
      <c r="AD9" s="36">
        <v>1.05</v>
      </c>
      <c r="AE9" s="36">
        <v>7.61</v>
      </c>
      <c r="AF9" s="36">
        <v>67.88</v>
      </c>
      <c r="AG9" s="36">
        <v>0.0</v>
      </c>
      <c r="AH9" s="38">
        <f t="shared" si="7"/>
        <v>0.651154269</v>
      </c>
      <c r="AI9" s="38">
        <f t="shared" si="8"/>
        <v>1.59202454</v>
      </c>
      <c r="AJ9" s="38">
        <f t="shared" si="9"/>
        <v>0.9411466261</v>
      </c>
      <c r="AK9" s="38">
        <f t="shared" si="10"/>
        <v>0.09363078855</v>
      </c>
      <c r="AL9" s="38">
        <f t="shared" si="11"/>
        <v>0.0499040714</v>
      </c>
      <c r="AM9" s="38">
        <f t="shared" si="12"/>
        <v>0.03701348183</v>
      </c>
      <c r="AN9" s="38">
        <f t="shared" si="13"/>
        <v>0.705</v>
      </c>
      <c r="AO9" s="38">
        <f t="shared" si="14"/>
        <v>0.218</v>
      </c>
      <c r="AP9" s="38">
        <f t="shared" si="15"/>
        <v>0.538</v>
      </c>
      <c r="AQ9" s="38">
        <f t="shared" si="16"/>
        <v>0.615</v>
      </c>
      <c r="AR9" s="38">
        <f t="shared" si="17"/>
        <v>0.192</v>
      </c>
      <c r="AS9" s="38">
        <f t="shared" si="18"/>
        <v>0.782</v>
      </c>
      <c r="AT9" s="38">
        <f t="shared" si="19"/>
        <v>0.333</v>
      </c>
      <c r="AU9" s="38">
        <f t="shared" si="20"/>
        <v>0.485975</v>
      </c>
      <c r="AV9" s="38">
        <f t="shared" si="21"/>
        <v>0.91</v>
      </c>
      <c r="AW9" s="38">
        <f t="shared" si="22"/>
        <v>0.897</v>
      </c>
      <c r="AX9" s="38">
        <f t="shared" si="23"/>
        <v>0.833</v>
      </c>
      <c r="AY9" s="38">
        <f t="shared" si="24"/>
        <v>0</v>
      </c>
      <c r="AZ9" s="38">
        <f t="shared" si="25"/>
        <v>0.897</v>
      </c>
      <c r="BA9" s="38">
        <f t="shared" si="26"/>
        <v>0.6696</v>
      </c>
      <c r="BB9" s="38">
        <f t="shared" si="27"/>
        <v>0.346</v>
      </c>
      <c r="BC9" s="38">
        <f t="shared" si="28"/>
        <v>0.667</v>
      </c>
      <c r="BD9" s="38">
        <f t="shared" si="29"/>
        <v>0.359</v>
      </c>
      <c r="BE9" s="38">
        <f t="shared" si="30"/>
        <v>0.795</v>
      </c>
      <c r="BF9" s="38">
        <f t="shared" si="31"/>
        <v>1</v>
      </c>
      <c r="BG9" s="38">
        <f t="shared" si="32"/>
        <v>0.603</v>
      </c>
      <c r="BH9" s="38">
        <f t="shared" si="33"/>
        <v>0.5988</v>
      </c>
      <c r="BI9" s="38">
        <f t="shared" si="34"/>
        <v>0.218</v>
      </c>
      <c r="BJ9" s="38">
        <f t="shared" si="35"/>
        <v>0.667</v>
      </c>
      <c r="BK9" s="38">
        <f t="shared" si="36"/>
        <v>0.077</v>
      </c>
      <c r="BL9" s="38">
        <f t="shared" si="37"/>
        <v>0.76075</v>
      </c>
      <c r="BM9" s="38">
        <f t="shared" si="38"/>
        <v>0.192</v>
      </c>
      <c r="BN9" s="39">
        <f t="shared" si="39"/>
        <v>1</v>
      </c>
      <c r="BO9" s="38">
        <f t="shared" si="40"/>
        <v>0.596</v>
      </c>
      <c r="BP9" s="38">
        <f t="shared" si="41"/>
        <v>0.705</v>
      </c>
      <c r="BQ9" s="38">
        <f t="shared" si="42"/>
        <v>0.3014</v>
      </c>
      <c r="BR9" s="40" t="str">
        <f t="shared" si="43"/>
        <v>High</v>
      </c>
      <c r="BS9" s="38">
        <f t="shared" si="44"/>
        <v>0.4538875</v>
      </c>
      <c r="BT9" s="40" t="str">
        <f t="shared" si="45"/>
        <v>Y</v>
      </c>
      <c r="BU9" s="40" t="str">
        <f t="shared" si="46"/>
        <v>Y</v>
      </c>
      <c r="BV9" s="40" t="str">
        <f t="shared" si="47"/>
        <v>Y</v>
      </c>
      <c r="BW9" s="40" t="str">
        <f t="shared" si="48"/>
        <v>Y</v>
      </c>
      <c r="BX9" s="40" t="str">
        <f t="shared" si="49"/>
        <v>Y</v>
      </c>
      <c r="BY9" s="39">
        <f t="shared" si="50"/>
        <v>22</v>
      </c>
      <c r="BZ9" s="41">
        <f t="shared" si="51"/>
        <v>0.04</v>
      </c>
      <c r="CA9" s="12">
        <f t="shared" ref="CA9:CG9" si="93">IF(ISNUMBER(F9),F9,IFERROR(VALUE(SUBSTITUTE(SUBSTITUTE(SUBSTITUTE(SUBSTITUTE(F9,"(","-"),")",""),",","")," ","")),"" ))</f>
        <v>593.6</v>
      </c>
      <c r="CB9" s="12">
        <f t="shared" si="93"/>
        <v>8490.69</v>
      </c>
      <c r="CC9" s="12">
        <f t="shared" si="93"/>
        <v>17.77</v>
      </c>
      <c r="CD9" s="12">
        <f t="shared" si="93"/>
        <v>27.29</v>
      </c>
      <c r="CE9" s="12">
        <f t="shared" si="93"/>
        <v>5.19</v>
      </c>
      <c r="CF9" s="12">
        <f t="shared" si="93"/>
        <v>3.26</v>
      </c>
      <c r="CG9" s="12">
        <f t="shared" si="93"/>
        <v>11.82</v>
      </c>
      <c r="CH9" s="12">
        <f t="shared" si="53"/>
        <v>81.03</v>
      </c>
      <c r="CI9" s="12">
        <f t="shared" ref="CI9:CK9" si="94">IF(ISNUMBER(M9),M9,IFERROR(VALUE(SUBSTITUTE(SUBSTITUTE(SUBSTITUTE(SUBSTITUTE(SUBSTITUTE(M9,"(","-"),")",""),"%",""),",","")," ","")),"" ))</f>
        <v>32.36</v>
      </c>
      <c r="CJ9" s="12">
        <f t="shared" si="94"/>
        <v>32.18</v>
      </c>
      <c r="CK9" s="12">
        <f t="shared" si="94"/>
        <v>16.03</v>
      </c>
      <c r="CL9" s="12">
        <f t="shared" si="55"/>
        <v>7</v>
      </c>
      <c r="CM9" s="12">
        <f t="shared" si="56"/>
        <v>7.25</v>
      </c>
      <c r="CN9" s="12">
        <f t="shared" ref="CN9:CO9" si="95">IF(ISNUMBER(R9),R9,IFERROR(VALUE(SUBSTITUTE(SUBSTITUTE(SUBSTITUTE(SUBSTITUTE(R9,"(","-"),")",""),",","")," ","")),"" ))</f>
        <v>6</v>
      </c>
      <c r="CO9" s="12">
        <f t="shared" si="95"/>
        <v>0.45</v>
      </c>
      <c r="CP9" s="12">
        <f t="shared" ref="CP9:CR9" si="96">IF(ISNUMBER(AC9),AC9,IFERROR(VALUE(SUBSTITUTE(SUBSTITUTE(SUBSTITUTE(SUBSTITUTE(AC9,"(","-"),")",""),",","")," ","")),"" ))</f>
        <v>21.41</v>
      </c>
      <c r="CQ9" s="12">
        <f t="shared" si="96"/>
        <v>1.05</v>
      </c>
      <c r="CR9" s="12">
        <f t="shared" si="96"/>
        <v>7.61</v>
      </c>
      <c r="CS9" s="12">
        <f t="shared" ref="CS9:CT9" si="97">IF(ISNUMBER(AF9),AF9,IFERROR(VALUE(SUBSTITUTE(SUBSTITUTE(SUBSTITUTE(SUBSTITUTE(SUBSTITUTE(AF9,"(","-"),")",""),"%",""),",","")," ","")),"" ))</f>
        <v>67.88</v>
      </c>
      <c r="CT9" s="12">
        <f t="shared" si="97"/>
        <v>0</v>
      </c>
      <c r="CU9" s="12">
        <f t="shared" si="60"/>
        <v>785363</v>
      </c>
      <c r="CV9" s="12">
        <f t="shared" si="61"/>
        <v>-2.39</v>
      </c>
      <c r="CW9" s="12">
        <f t="shared" ref="CW9:DA9" si="98">IF(ISNUMBER(W9),W9,IFERROR(VALUE(SUBSTITUTE(SUBSTITUTE(SUBSTITUTE(SUBSTITUTE(W9,"(","-"),")",""),",","")," ","")),"" ))</f>
        <v>649.88</v>
      </c>
      <c r="CX9" s="12">
        <f t="shared" si="98"/>
        <v>630.72</v>
      </c>
      <c r="CY9" s="12">
        <f t="shared" si="98"/>
        <v>794.99</v>
      </c>
      <c r="CZ9" s="12">
        <f t="shared" si="98"/>
        <v>423.72</v>
      </c>
      <c r="DA9" s="12">
        <f t="shared" si="98"/>
        <v>314.27</v>
      </c>
    </row>
    <row r="10" ht="15.75" customHeight="1">
      <c r="A10" s="25">
        <v>9.0</v>
      </c>
      <c r="B10" s="26" t="s">
        <v>308</v>
      </c>
      <c r="C10" s="9" t="s">
        <v>38</v>
      </c>
      <c r="D10" s="10" t="s">
        <v>309</v>
      </c>
      <c r="E10" s="27" t="s">
        <v>310</v>
      </c>
      <c r="F10" s="28">
        <v>3048.6</v>
      </c>
      <c r="G10" s="28">
        <v>602.1</v>
      </c>
      <c r="H10" s="28">
        <v>17.27</v>
      </c>
      <c r="I10" s="28">
        <v>19.33</v>
      </c>
      <c r="J10" s="28">
        <v>3.98</v>
      </c>
      <c r="K10" s="28">
        <v>1.89</v>
      </c>
      <c r="L10" s="28">
        <v>11.54</v>
      </c>
      <c r="M10" s="28">
        <v>31.9</v>
      </c>
      <c r="N10" s="28">
        <v>26.26</v>
      </c>
      <c r="O10" s="28">
        <v>18.73</v>
      </c>
      <c r="P10" s="28">
        <v>4.0</v>
      </c>
      <c r="Q10" s="28">
        <v>7.81</v>
      </c>
      <c r="R10" s="28">
        <v>7.0</v>
      </c>
      <c r="S10" s="28">
        <v>0.12</v>
      </c>
      <c r="T10" s="28">
        <v>352.0</v>
      </c>
      <c r="U10" s="28">
        <v>802.0</v>
      </c>
      <c r="V10" s="28">
        <v>-5.94</v>
      </c>
      <c r="W10" s="28">
        <v>3115.43</v>
      </c>
      <c r="X10" s="28">
        <v>3113.73</v>
      </c>
      <c r="Y10" s="28">
        <v>127.63</v>
      </c>
      <c r="Z10" s="28">
        <v>112.12</v>
      </c>
      <c r="AA10" s="28">
        <v>77.11</v>
      </c>
      <c r="AB10" s="28">
        <v>23.72</v>
      </c>
      <c r="AC10" s="28">
        <v>66.81</v>
      </c>
      <c r="AD10" s="28">
        <v>2.14</v>
      </c>
      <c r="AE10" s="28">
        <v>7.81</v>
      </c>
      <c r="AF10" s="28">
        <v>63.63</v>
      </c>
      <c r="AG10" s="28">
        <v>0.0</v>
      </c>
      <c r="AH10" s="29">
        <f t="shared" si="7"/>
        <v>0.8934299017</v>
      </c>
      <c r="AI10" s="29">
        <f t="shared" si="8"/>
        <v>2.105820106</v>
      </c>
      <c r="AJ10" s="29">
        <f t="shared" si="9"/>
        <v>0.9790829648</v>
      </c>
      <c r="AK10" s="29">
        <f t="shared" si="10"/>
        <v>0.211974755</v>
      </c>
      <c r="AL10" s="29">
        <f t="shared" si="11"/>
        <v>0.1862149145</v>
      </c>
      <c r="AM10" s="29">
        <f t="shared" si="12"/>
        <v>0.1280684272</v>
      </c>
      <c r="AN10" s="29">
        <f t="shared" si="13"/>
        <v>0.744</v>
      </c>
      <c r="AO10" s="29">
        <f t="shared" si="14"/>
        <v>0.397</v>
      </c>
      <c r="AP10" s="29">
        <f t="shared" si="15"/>
        <v>0.59</v>
      </c>
      <c r="AQ10" s="29">
        <f t="shared" si="16"/>
        <v>0.744</v>
      </c>
      <c r="AR10" s="29">
        <f t="shared" si="17"/>
        <v>0.603</v>
      </c>
      <c r="AS10" s="29">
        <f t="shared" si="18"/>
        <v>0.5</v>
      </c>
      <c r="AT10" s="29">
        <f t="shared" si="19"/>
        <v>0.09</v>
      </c>
      <c r="AU10" s="29">
        <f t="shared" si="20"/>
        <v>0.57265</v>
      </c>
      <c r="AV10" s="29">
        <f t="shared" si="21"/>
        <v>0.897</v>
      </c>
      <c r="AW10" s="29">
        <f t="shared" si="22"/>
        <v>0.833</v>
      </c>
      <c r="AX10" s="29">
        <f t="shared" si="23"/>
        <v>0.897</v>
      </c>
      <c r="AY10" s="29">
        <f t="shared" si="24"/>
        <v>0.256</v>
      </c>
      <c r="AZ10" s="29">
        <f t="shared" si="25"/>
        <v>0.308</v>
      </c>
      <c r="BA10" s="29">
        <f t="shared" si="26"/>
        <v>0.60615</v>
      </c>
      <c r="BB10" s="29">
        <f t="shared" si="27"/>
        <v>0.59</v>
      </c>
      <c r="BC10" s="29">
        <f t="shared" si="28"/>
        <v>0.782</v>
      </c>
      <c r="BD10" s="29">
        <f t="shared" si="29"/>
        <v>0.692</v>
      </c>
      <c r="BE10" s="29">
        <f t="shared" si="30"/>
        <v>0.833</v>
      </c>
      <c r="BF10" s="29">
        <f t="shared" si="31"/>
        <v>1</v>
      </c>
      <c r="BG10" s="29">
        <f t="shared" si="32"/>
        <v>0.487</v>
      </c>
      <c r="BH10" s="29">
        <f t="shared" si="33"/>
        <v>0.72045</v>
      </c>
      <c r="BI10" s="29">
        <f t="shared" si="34"/>
        <v>0.5</v>
      </c>
      <c r="BJ10" s="29">
        <f t="shared" si="35"/>
        <v>0.91</v>
      </c>
      <c r="BK10" s="29">
        <f t="shared" si="36"/>
        <v>0.179</v>
      </c>
      <c r="BL10" s="29">
        <f t="shared" si="37"/>
        <v>0.7505625</v>
      </c>
      <c r="BM10" s="29">
        <f t="shared" si="38"/>
        <v>0.154</v>
      </c>
      <c r="BN10" s="30">
        <f t="shared" si="39"/>
        <v>1</v>
      </c>
      <c r="BO10" s="29">
        <f t="shared" si="40"/>
        <v>0.577</v>
      </c>
      <c r="BP10" s="29">
        <f t="shared" si="41"/>
        <v>0</v>
      </c>
      <c r="BQ10" s="29">
        <f t="shared" si="42"/>
        <v>0.2016</v>
      </c>
      <c r="BR10" s="31" t="str">
        <f t="shared" si="43"/>
        <v>High</v>
      </c>
      <c r="BS10" s="29">
        <f t="shared" si="44"/>
        <v>0.669578125</v>
      </c>
      <c r="BT10" s="31" t="str">
        <f t="shared" si="45"/>
        <v>N</v>
      </c>
      <c r="BU10" s="31" t="str">
        <f t="shared" si="46"/>
        <v>Y</v>
      </c>
      <c r="BV10" s="31" t="str">
        <f t="shared" si="47"/>
        <v>Y</v>
      </c>
      <c r="BW10" s="31" t="str">
        <f t="shared" si="48"/>
        <v>Y</v>
      </c>
      <c r="BX10" s="31" t="str">
        <f t="shared" si="49"/>
        <v>N</v>
      </c>
      <c r="BY10" s="30" t="str">
        <f t="shared" si="50"/>
        <v/>
      </c>
      <c r="BZ10" s="32" t="str">
        <f t="shared" si="51"/>
        <v/>
      </c>
      <c r="CA10" s="9">
        <f t="shared" ref="CA10:CG10" si="99">IF(ISNUMBER(F10),F10,IFERROR(VALUE(SUBSTITUTE(SUBSTITUTE(SUBSTITUTE(SUBSTITUTE(F10,"(","-"),")",""),",","")," ","")),"" ))</f>
        <v>3048.6</v>
      </c>
      <c r="CB10" s="9">
        <f t="shared" si="99"/>
        <v>602.1</v>
      </c>
      <c r="CC10" s="9">
        <f t="shared" si="99"/>
        <v>17.27</v>
      </c>
      <c r="CD10" s="9">
        <f t="shared" si="99"/>
        <v>19.33</v>
      </c>
      <c r="CE10" s="9">
        <f t="shared" si="99"/>
        <v>3.98</v>
      </c>
      <c r="CF10" s="9">
        <f t="shared" si="99"/>
        <v>1.89</v>
      </c>
      <c r="CG10" s="9">
        <f t="shared" si="99"/>
        <v>11.54</v>
      </c>
      <c r="CH10" s="9">
        <f t="shared" si="53"/>
        <v>23.72</v>
      </c>
      <c r="CI10" s="9">
        <f t="shared" ref="CI10:CK10" si="100">IF(ISNUMBER(M10),M10,IFERROR(VALUE(SUBSTITUTE(SUBSTITUTE(SUBSTITUTE(SUBSTITUTE(SUBSTITUTE(M10,"(","-"),")",""),"%",""),",","")," ","")),"" ))</f>
        <v>31.9</v>
      </c>
      <c r="CJ10" s="9">
        <f t="shared" si="100"/>
        <v>26.26</v>
      </c>
      <c r="CK10" s="9">
        <f t="shared" si="100"/>
        <v>18.73</v>
      </c>
      <c r="CL10" s="9">
        <f t="shared" si="55"/>
        <v>4</v>
      </c>
      <c r="CM10" s="9">
        <f t="shared" si="56"/>
        <v>7.81</v>
      </c>
      <c r="CN10" s="9">
        <f t="shared" ref="CN10:CO10" si="101">IF(ISNUMBER(R10),R10,IFERROR(VALUE(SUBSTITUTE(SUBSTITUTE(SUBSTITUTE(SUBSTITUTE(R10,"(","-"),")",""),",","")," ","")),"" ))</f>
        <v>7</v>
      </c>
      <c r="CO10" s="9">
        <f t="shared" si="101"/>
        <v>0.12</v>
      </c>
      <c r="CP10" s="9">
        <f t="shared" ref="CP10:CR10" si="102">IF(ISNUMBER(AC10),AC10,IFERROR(VALUE(SUBSTITUTE(SUBSTITUTE(SUBSTITUTE(SUBSTITUTE(AC10,"(","-"),")",""),",","")," ","")),"" ))</f>
        <v>66.81</v>
      </c>
      <c r="CQ10" s="9">
        <f t="shared" si="102"/>
        <v>2.14</v>
      </c>
      <c r="CR10" s="9">
        <f t="shared" si="102"/>
        <v>7.81</v>
      </c>
      <c r="CS10" s="9">
        <f t="shared" ref="CS10:CT10" si="103">IF(ISNUMBER(AF10),AF10,IFERROR(VALUE(SUBSTITUTE(SUBSTITUTE(SUBSTITUTE(SUBSTITUTE(SUBSTITUTE(AF10,"(","-"),")",""),"%",""),",","")," ","")),"" ))</f>
        <v>63.63</v>
      </c>
      <c r="CT10" s="9">
        <f t="shared" si="103"/>
        <v>0</v>
      </c>
      <c r="CU10" s="9">
        <f t="shared" si="60"/>
        <v>802</v>
      </c>
      <c r="CV10" s="9">
        <f t="shared" si="61"/>
        <v>-5.94</v>
      </c>
      <c r="CW10" s="9">
        <f t="shared" ref="CW10:DA10" si="104">IF(ISNUMBER(W10),W10,IFERROR(VALUE(SUBSTITUTE(SUBSTITUTE(SUBSTITUTE(SUBSTITUTE(W10,"(","-"),")",""),",","")," ","")),"" ))</f>
        <v>3115.43</v>
      </c>
      <c r="CX10" s="9">
        <f t="shared" si="104"/>
        <v>3113.73</v>
      </c>
      <c r="CY10" s="9">
        <f t="shared" si="104"/>
        <v>127.63</v>
      </c>
      <c r="CZ10" s="9">
        <f t="shared" si="104"/>
        <v>112.12</v>
      </c>
      <c r="DA10" s="9">
        <f t="shared" si="104"/>
        <v>77.11</v>
      </c>
    </row>
    <row r="11" ht="15.75" customHeight="1">
      <c r="A11" s="33">
        <v>10.0</v>
      </c>
      <c r="B11" s="34" t="s">
        <v>311</v>
      </c>
      <c r="C11" s="12" t="s">
        <v>55</v>
      </c>
      <c r="D11" s="13" t="s">
        <v>312</v>
      </c>
      <c r="E11" s="35" t="s">
        <v>313</v>
      </c>
      <c r="F11" s="36">
        <v>4279.9</v>
      </c>
      <c r="G11" s="36">
        <v>5799.86</v>
      </c>
      <c r="H11" s="36">
        <v>34.52</v>
      </c>
      <c r="I11" s="36">
        <v>20.88</v>
      </c>
      <c r="J11" s="36">
        <v>4.48</v>
      </c>
      <c r="K11" s="36">
        <v>2.41</v>
      </c>
      <c r="L11" s="36">
        <v>21.18</v>
      </c>
      <c r="M11" s="36">
        <v>30.55</v>
      </c>
      <c r="N11" s="36">
        <v>23.21</v>
      </c>
      <c r="O11" s="36">
        <v>14.22</v>
      </c>
      <c r="P11" s="36">
        <v>4.0</v>
      </c>
      <c r="Q11" s="36">
        <v>4.23</v>
      </c>
      <c r="R11" s="36">
        <v>8.0</v>
      </c>
      <c r="S11" s="36">
        <v>0.01</v>
      </c>
      <c r="T11" s="36">
        <v>6590.0</v>
      </c>
      <c r="U11" s="36">
        <v>9167.0</v>
      </c>
      <c r="V11" s="36">
        <v>-2.17</v>
      </c>
      <c r="W11" s="36">
        <v>4259.37</v>
      </c>
      <c r="X11" s="36">
        <v>3997.93</v>
      </c>
      <c r="Y11" s="36">
        <v>139.2</v>
      </c>
      <c r="Z11" s="36">
        <v>29.58</v>
      </c>
      <c r="AA11" s="36">
        <v>27.6</v>
      </c>
      <c r="AB11" s="36">
        <v>632.68</v>
      </c>
      <c r="AC11" s="36">
        <v>42.96</v>
      </c>
      <c r="AD11" s="36">
        <v>2.18</v>
      </c>
      <c r="AE11" s="36">
        <v>8.49</v>
      </c>
      <c r="AF11" s="36">
        <v>67.02</v>
      </c>
      <c r="AG11" s="36">
        <v>0.0</v>
      </c>
      <c r="AH11" s="38">
        <f t="shared" si="7"/>
        <v>1.653256705</v>
      </c>
      <c r="AI11" s="38">
        <f t="shared" si="8"/>
        <v>1.858921162</v>
      </c>
      <c r="AJ11" s="38">
        <f t="shared" si="9"/>
        <v>1.070528999</v>
      </c>
      <c r="AK11" s="38">
        <f t="shared" si="10"/>
        <v>0.02400057932</v>
      </c>
      <c r="AL11" s="38">
        <f t="shared" si="11"/>
        <v>0.005100123106</v>
      </c>
      <c r="AM11" s="38">
        <f t="shared" si="12"/>
        <v>0.004758735556</v>
      </c>
      <c r="AN11" s="38">
        <f t="shared" si="13"/>
        <v>0.09</v>
      </c>
      <c r="AO11" s="38">
        <f t="shared" si="14"/>
        <v>0.282</v>
      </c>
      <c r="AP11" s="38">
        <f t="shared" si="15"/>
        <v>0.038</v>
      </c>
      <c r="AQ11" s="38">
        <f t="shared" si="16"/>
        <v>0.077</v>
      </c>
      <c r="AR11" s="38">
        <f t="shared" si="17"/>
        <v>0</v>
      </c>
      <c r="AS11" s="38">
        <f t="shared" si="18"/>
        <v>0.013</v>
      </c>
      <c r="AT11" s="38">
        <f t="shared" si="19"/>
        <v>0.179</v>
      </c>
      <c r="AU11" s="38">
        <f t="shared" si="20"/>
        <v>0.09385</v>
      </c>
      <c r="AV11" s="38">
        <f t="shared" si="21"/>
        <v>0.885</v>
      </c>
      <c r="AW11" s="38">
        <f t="shared" si="22"/>
        <v>0.769</v>
      </c>
      <c r="AX11" s="38">
        <f t="shared" si="23"/>
        <v>0.744</v>
      </c>
      <c r="AY11" s="38">
        <f t="shared" si="24"/>
        <v>0.551</v>
      </c>
      <c r="AZ11" s="38">
        <f t="shared" si="25"/>
        <v>0.308</v>
      </c>
      <c r="BA11" s="38">
        <f t="shared" si="26"/>
        <v>0.6488</v>
      </c>
      <c r="BB11" s="38">
        <f t="shared" si="27"/>
        <v>0.897</v>
      </c>
      <c r="BC11" s="38">
        <f t="shared" si="28"/>
        <v>0.705</v>
      </c>
      <c r="BD11" s="38">
        <f t="shared" si="29"/>
        <v>0.705</v>
      </c>
      <c r="BE11" s="38">
        <f t="shared" si="30"/>
        <v>0.91</v>
      </c>
      <c r="BF11" s="38">
        <f t="shared" si="31"/>
        <v>1</v>
      </c>
      <c r="BG11" s="38">
        <f t="shared" si="32"/>
        <v>0.577</v>
      </c>
      <c r="BH11" s="38">
        <f t="shared" si="33"/>
        <v>0.83055</v>
      </c>
      <c r="BI11" s="38">
        <f t="shared" si="34"/>
        <v>0.987</v>
      </c>
      <c r="BJ11" s="38">
        <f t="shared" si="35"/>
        <v>0.821</v>
      </c>
      <c r="BK11" s="38">
        <f t="shared" si="36"/>
        <v>0.577</v>
      </c>
      <c r="BL11" s="38">
        <f t="shared" si="37"/>
        <v>0.8095875</v>
      </c>
      <c r="BM11" s="38">
        <f t="shared" si="38"/>
        <v>0.205</v>
      </c>
      <c r="BN11" s="39">
        <f t="shared" si="39"/>
        <v>1</v>
      </c>
      <c r="BO11" s="38">
        <f t="shared" si="40"/>
        <v>0.6025</v>
      </c>
      <c r="BP11" s="38">
        <f t="shared" si="41"/>
        <v>0.013</v>
      </c>
      <c r="BQ11" s="38">
        <f t="shared" si="42"/>
        <v>0.1576</v>
      </c>
      <c r="BR11" s="40" t="str">
        <f t="shared" si="43"/>
        <v>High</v>
      </c>
      <c r="BS11" s="38">
        <f t="shared" si="44"/>
        <v>0.457179375</v>
      </c>
      <c r="BT11" s="40" t="str">
        <f t="shared" si="45"/>
        <v>N</v>
      </c>
      <c r="BU11" s="40" t="str">
        <f t="shared" si="46"/>
        <v>Y</v>
      </c>
      <c r="BV11" s="40" t="str">
        <f t="shared" si="47"/>
        <v>Y</v>
      </c>
      <c r="BW11" s="40" t="str">
        <f t="shared" si="48"/>
        <v>Y</v>
      </c>
      <c r="BX11" s="40" t="str">
        <f t="shared" si="49"/>
        <v>N</v>
      </c>
      <c r="BY11" s="39" t="str">
        <f t="shared" si="50"/>
        <v/>
      </c>
      <c r="BZ11" s="41" t="str">
        <f t="shared" si="51"/>
        <v/>
      </c>
      <c r="CA11" s="12">
        <f t="shared" ref="CA11:CG11" si="105">IF(ISNUMBER(F11),F11,IFERROR(VALUE(SUBSTITUTE(SUBSTITUTE(SUBSTITUTE(SUBSTITUTE(F11,"(","-"),")",""),",","")," ","")),"" ))</f>
        <v>4279.9</v>
      </c>
      <c r="CB11" s="12">
        <f t="shared" si="105"/>
        <v>5799.86</v>
      </c>
      <c r="CC11" s="12">
        <f t="shared" si="105"/>
        <v>34.52</v>
      </c>
      <c r="CD11" s="12">
        <f t="shared" si="105"/>
        <v>20.88</v>
      </c>
      <c r="CE11" s="12">
        <f t="shared" si="105"/>
        <v>4.48</v>
      </c>
      <c r="CF11" s="12">
        <f t="shared" si="105"/>
        <v>2.41</v>
      </c>
      <c r="CG11" s="12">
        <f t="shared" si="105"/>
        <v>21.18</v>
      </c>
      <c r="CH11" s="12">
        <f t="shared" si="53"/>
        <v>632.68</v>
      </c>
      <c r="CI11" s="12">
        <f t="shared" ref="CI11:CK11" si="106">IF(ISNUMBER(M11),M11,IFERROR(VALUE(SUBSTITUTE(SUBSTITUTE(SUBSTITUTE(SUBSTITUTE(SUBSTITUTE(M11,"(","-"),")",""),"%",""),",","")," ","")),"" ))</f>
        <v>30.55</v>
      </c>
      <c r="CJ11" s="12">
        <f t="shared" si="106"/>
        <v>23.21</v>
      </c>
      <c r="CK11" s="12">
        <f t="shared" si="106"/>
        <v>14.22</v>
      </c>
      <c r="CL11" s="12">
        <f t="shared" si="55"/>
        <v>4</v>
      </c>
      <c r="CM11" s="12">
        <f t="shared" si="56"/>
        <v>4.23</v>
      </c>
      <c r="CN11" s="12">
        <f t="shared" ref="CN11:CO11" si="107">IF(ISNUMBER(R11),R11,IFERROR(VALUE(SUBSTITUTE(SUBSTITUTE(SUBSTITUTE(SUBSTITUTE(R11,"(","-"),")",""),",","")," ","")),"" ))</f>
        <v>8</v>
      </c>
      <c r="CO11" s="12">
        <f t="shared" si="107"/>
        <v>0.01</v>
      </c>
      <c r="CP11" s="12">
        <f t="shared" ref="CP11:CR11" si="108">IF(ISNUMBER(AC11),AC11,IFERROR(VALUE(SUBSTITUTE(SUBSTITUTE(SUBSTITUTE(SUBSTITUTE(AC11,"(","-"),")",""),",","")," ","")),"" ))</f>
        <v>42.96</v>
      </c>
      <c r="CQ11" s="12">
        <f t="shared" si="108"/>
        <v>2.18</v>
      </c>
      <c r="CR11" s="12">
        <f t="shared" si="108"/>
        <v>8.49</v>
      </c>
      <c r="CS11" s="12">
        <f t="shared" ref="CS11:CT11" si="109">IF(ISNUMBER(AF11),AF11,IFERROR(VALUE(SUBSTITUTE(SUBSTITUTE(SUBSTITUTE(SUBSTITUTE(SUBSTITUTE(AF11,"(","-"),")",""),"%",""),",","")," ","")),"" ))</f>
        <v>67.02</v>
      </c>
      <c r="CT11" s="12">
        <f t="shared" si="109"/>
        <v>0</v>
      </c>
      <c r="CU11" s="12">
        <f t="shared" si="60"/>
        <v>9167</v>
      </c>
      <c r="CV11" s="12">
        <f t="shared" si="61"/>
        <v>-2.17</v>
      </c>
      <c r="CW11" s="12">
        <f t="shared" ref="CW11:DA11" si="110">IF(ISNUMBER(W11),W11,IFERROR(VALUE(SUBSTITUTE(SUBSTITUTE(SUBSTITUTE(SUBSTITUTE(W11,"(","-"),")",""),",","")," ","")),"" ))</f>
        <v>4259.37</v>
      </c>
      <c r="CX11" s="12">
        <f t="shared" si="110"/>
        <v>3997.93</v>
      </c>
      <c r="CY11" s="12">
        <f t="shared" si="110"/>
        <v>139.2</v>
      </c>
      <c r="CZ11" s="12">
        <f t="shared" si="110"/>
        <v>29.58</v>
      </c>
      <c r="DA11" s="12">
        <f t="shared" si="110"/>
        <v>27.6</v>
      </c>
    </row>
    <row r="12" ht="15.75" customHeight="1">
      <c r="A12" s="25">
        <v>11.0</v>
      </c>
      <c r="B12" s="26" t="s">
        <v>66</v>
      </c>
      <c r="C12" s="9" t="s">
        <v>67</v>
      </c>
      <c r="D12" s="10" t="s">
        <v>68</v>
      </c>
      <c r="E12" s="27" t="s">
        <v>69</v>
      </c>
      <c r="F12" s="28">
        <v>40.46</v>
      </c>
      <c r="G12" s="28">
        <v>942.07</v>
      </c>
      <c r="H12" s="28">
        <v>10.89</v>
      </c>
      <c r="I12" s="28">
        <v>17.76</v>
      </c>
      <c r="J12" s="28">
        <v>3.08</v>
      </c>
      <c r="K12" s="28">
        <v>1.5</v>
      </c>
      <c r="L12" s="28">
        <v>8.18</v>
      </c>
      <c r="M12" s="28">
        <v>30.47</v>
      </c>
      <c r="N12" s="28">
        <v>27.48</v>
      </c>
      <c r="O12" s="28">
        <v>17.47</v>
      </c>
      <c r="P12" s="28">
        <v>4.0</v>
      </c>
      <c r="Q12" s="28">
        <v>11.91</v>
      </c>
      <c r="R12" s="28">
        <v>6.0</v>
      </c>
      <c r="S12" s="28">
        <v>0.04</v>
      </c>
      <c r="T12" s="28">
        <v>1548755.0</v>
      </c>
      <c r="U12" s="28">
        <v>1042344.0</v>
      </c>
      <c r="V12" s="28">
        <v>121.46</v>
      </c>
      <c r="W12" s="28">
        <v>37.87</v>
      </c>
      <c r="X12" s="28">
        <v>30.45</v>
      </c>
      <c r="Y12" s="42"/>
      <c r="Z12" s="42"/>
      <c r="AA12" s="28">
        <v>-65.84</v>
      </c>
      <c r="AB12" s="28">
        <v>-42.92</v>
      </c>
      <c r="AC12" s="28">
        <v>69.85</v>
      </c>
      <c r="AD12" s="28">
        <v>1.74</v>
      </c>
      <c r="AE12" s="28">
        <v>6.59</v>
      </c>
      <c r="AF12" s="28">
        <v>53.81</v>
      </c>
      <c r="AG12" s="28">
        <v>0.0</v>
      </c>
      <c r="AH12" s="29">
        <f t="shared" si="7"/>
        <v>0.6131756757</v>
      </c>
      <c r="AI12" s="29">
        <f t="shared" si="8"/>
        <v>2.053333333</v>
      </c>
      <c r="AJ12" s="29">
        <f t="shared" si="9"/>
        <v>1.328735632</v>
      </c>
      <c r="AK12" s="29">
        <f t="shared" si="10"/>
        <v>0</v>
      </c>
      <c r="AL12" s="29">
        <f t="shared" si="11"/>
        <v>0</v>
      </c>
      <c r="AM12" s="29">
        <f t="shared" si="12"/>
        <v>-0.06988864946</v>
      </c>
      <c r="AN12" s="29">
        <f t="shared" si="13"/>
        <v>0.949</v>
      </c>
      <c r="AO12" s="29">
        <f t="shared" si="14"/>
        <v>0.628</v>
      </c>
      <c r="AP12" s="29">
        <f t="shared" si="15"/>
        <v>0.821</v>
      </c>
      <c r="AQ12" s="29">
        <f t="shared" si="16"/>
        <v>0.923</v>
      </c>
      <c r="AR12" s="29" t="str">
        <f t="shared" si="17"/>
        <v/>
      </c>
      <c r="AS12" s="29">
        <f t="shared" si="18"/>
        <v>0.846</v>
      </c>
      <c r="AT12" s="29">
        <f t="shared" si="19"/>
        <v>0.115</v>
      </c>
      <c r="AU12" s="29">
        <f t="shared" si="20"/>
        <v>0.7749705882</v>
      </c>
      <c r="AV12" s="29">
        <f t="shared" si="21"/>
        <v>0.872</v>
      </c>
      <c r="AW12" s="29">
        <f t="shared" si="22"/>
        <v>0.872</v>
      </c>
      <c r="AX12" s="29">
        <f t="shared" si="23"/>
        <v>0.885</v>
      </c>
      <c r="AY12" s="29">
        <f t="shared" si="24"/>
        <v>0</v>
      </c>
      <c r="AZ12" s="29">
        <f t="shared" si="25"/>
        <v>0.308</v>
      </c>
      <c r="BA12" s="29">
        <f t="shared" si="26"/>
        <v>0.5425</v>
      </c>
      <c r="BB12" s="29">
        <f t="shared" si="27"/>
        <v>0.744</v>
      </c>
      <c r="BC12" s="29">
        <f t="shared" si="28"/>
        <v>0.808</v>
      </c>
      <c r="BD12" s="29">
        <f t="shared" si="29"/>
        <v>0.615</v>
      </c>
      <c r="BE12" s="29">
        <f t="shared" si="30"/>
        <v>0.603</v>
      </c>
      <c r="BF12" s="29">
        <f t="shared" si="31"/>
        <v>1</v>
      </c>
      <c r="BG12" s="29">
        <f t="shared" si="32"/>
        <v>0.218</v>
      </c>
      <c r="BH12" s="29">
        <f t="shared" si="33"/>
        <v>0.67845</v>
      </c>
      <c r="BI12" s="29">
        <f t="shared" si="34"/>
        <v>0.154</v>
      </c>
      <c r="BJ12" s="29">
        <f t="shared" si="35"/>
        <v>0.885</v>
      </c>
      <c r="BK12" s="29">
        <f t="shared" si="36"/>
        <v>0.936</v>
      </c>
      <c r="BL12" s="29">
        <f t="shared" si="37"/>
        <v>0.6459125</v>
      </c>
      <c r="BM12" s="29">
        <f t="shared" si="38"/>
        <v>0.987</v>
      </c>
      <c r="BN12" s="30">
        <f t="shared" si="39"/>
        <v>1</v>
      </c>
      <c r="BO12" s="29">
        <f t="shared" si="40"/>
        <v>0.9935</v>
      </c>
      <c r="BP12" s="29">
        <f t="shared" si="41"/>
        <v>0.756</v>
      </c>
      <c r="BQ12" s="29">
        <f t="shared" si="42"/>
        <v>0.3458</v>
      </c>
      <c r="BR12" s="31" t="str">
        <f t="shared" si="43"/>
        <v>High</v>
      </c>
      <c r="BS12" s="29" t="str">
        <f t="shared" si="44"/>
        <v/>
      </c>
      <c r="BT12" s="31" t="str">
        <f t="shared" si="45"/>
        <v>Y</v>
      </c>
      <c r="BU12" s="31" t="str">
        <f t="shared" si="46"/>
        <v>Y</v>
      </c>
      <c r="BV12" s="31" t="str">
        <f t="shared" si="47"/>
        <v>Y</v>
      </c>
      <c r="BW12" s="31" t="str">
        <f t="shared" si="48"/>
        <v>Y</v>
      </c>
      <c r="BX12" s="31" t="str">
        <f t="shared" si="49"/>
        <v>Y</v>
      </c>
      <c r="BY12" s="30">
        <f t="shared" si="50"/>
        <v>1</v>
      </c>
      <c r="BZ12" s="32">
        <f t="shared" si="51"/>
        <v>0.04</v>
      </c>
      <c r="CA12" s="9">
        <f t="shared" ref="CA12:CG12" si="111">IF(ISNUMBER(F12),F12,IFERROR(VALUE(SUBSTITUTE(SUBSTITUTE(SUBSTITUTE(SUBSTITUTE(F12,"(","-"),")",""),",","")," ","")),"" ))</f>
        <v>40.46</v>
      </c>
      <c r="CB12" s="9">
        <f t="shared" si="111"/>
        <v>942.07</v>
      </c>
      <c r="CC12" s="9">
        <f t="shared" si="111"/>
        <v>10.89</v>
      </c>
      <c r="CD12" s="9">
        <f t="shared" si="111"/>
        <v>17.76</v>
      </c>
      <c r="CE12" s="9">
        <f t="shared" si="111"/>
        <v>3.08</v>
      </c>
      <c r="CF12" s="9">
        <f t="shared" si="111"/>
        <v>1.5</v>
      </c>
      <c r="CG12" s="9">
        <f t="shared" si="111"/>
        <v>8.18</v>
      </c>
      <c r="CH12" s="9">
        <f t="shared" si="53"/>
        <v>-42.92</v>
      </c>
      <c r="CI12" s="9">
        <f t="shared" ref="CI12:CK12" si="112">IF(ISNUMBER(M12),M12,IFERROR(VALUE(SUBSTITUTE(SUBSTITUTE(SUBSTITUTE(SUBSTITUTE(SUBSTITUTE(M12,"(","-"),")",""),"%",""),",","")," ","")),"" ))</f>
        <v>30.47</v>
      </c>
      <c r="CJ12" s="9">
        <f t="shared" si="112"/>
        <v>27.48</v>
      </c>
      <c r="CK12" s="9">
        <f t="shared" si="112"/>
        <v>17.47</v>
      </c>
      <c r="CL12" s="9">
        <f t="shared" si="55"/>
        <v>4</v>
      </c>
      <c r="CM12" s="9">
        <f t="shared" si="56"/>
        <v>11.91</v>
      </c>
      <c r="CN12" s="9">
        <f t="shared" ref="CN12:CO12" si="113">IF(ISNUMBER(R12),R12,IFERROR(VALUE(SUBSTITUTE(SUBSTITUTE(SUBSTITUTE(SUBSTITUTE(R12,"(","-"),")",""),",","")," ","")),"" ))</f>
        <v>6</v>
      </c>
      <c r="CO12" s="9">
        <f t="shared" si="113"/>
        <v>0.04</v>
      </c>
      <c r="CP12" s="9">
        <f t="shared" ref="CP12:CR12" si="114">IF(ISNUMBER(AC12),AC12,IFERROR(VALUE(SUBSTITUTE(SUBSTITUTE(SUBSTITUTE(SUBSTITUTE(AC12,"(","-"),")",""),",","")," ","")),"" ))</f>
        <v>69.85</v>
      </c>
      <c r="CQ12" s="9">
        <f t="shared" si="114"/>
        <v>1.74</v>
      </c>
      <c r="CR12" s="9">
        <f t="shared" si="114"/>
        <v>6.59</v>
      </c>
      <c r="CS12" s="9">
        <f t="shared" ref="CS12:CT12" si="115">IF(ISNUMBER(AF12),AF12,IFERROR(VALUE(SUBSTITUTE(SUBSTITUTE(SUBSTITUTE(SUBSTITUTE(SUBSTITUTE(AF12,"(","-"),")",""),"%",""),",","")," ","")),"" ))</f>
        <v>53.81</v>
      </c>
      <c r="CT12" s="9">
        <f t="shared" si="115"/>
        <v>0</v>
      </c>
      <c r="CU12" s="9">
        <f t="shared" si="60"/>
        <v>1042344</v>
      </c>
      <c r="CV12" s="9">
        <f t="shared" si="61"/>
        <v>121.46</v>
      </c>
      <c r="CW12" s="9">
        <f t="shared" ref="CW12:DA12" si="116">IF(ISNUMBER(W12),W12,IFERROR(VALUE(SUBSTITUTE(SUBSTITUTE(SUBSTITUTE(SUBSTITUTE(W12,"(","-"),")",""),",","")," ","")),"" ))</f>
        <v>37.87</v>
      </c>
      <c r="CX12" s="9">
        <f t="shared" si="116"/>
        <v>30.45</v>
      </c>
      <c r="CY12" s="9">
        <f t="shared" si="116"/>
        <v>0</v>
      </c>
      <c r="CZ12" s="9">
        <f t="shared" si="116"/>
        <v>0</v>
      </c>
      <c r="DA12" s="9">
        <f t="shared" si="116"/>
        <v>-65.84</v>
      </c>
    </row>
    <row r="13" ht="15.75" customHeight="1">
      <c r="A13" s="33">
        <v>12.0</v>
      </c>
      <c r="B13" s="34" t="s">
        <v>73</v>
      </c>
      <c r="C13" s="12" t="s">
        <v>46</v>
      </c>
      <c r="D13" s="13" t="s">
        <v>74</v>
      </c>
      <c r="E13" s="35" t="s">
        <v>75</v>
      </c>
      <c r="F13" s="36">
        <v>5591.5</v>
      </c>
      <c r="G13" s="36">
        <v>111880.2</v>
      </c>
      <c r="H13" s="36">
        <v>20.22</v>
      </c>
      <c r="I13" s="36">
        <v>30.56</v>
      </c>
      <c r="J13" s="36">
        <v>5.33</v>
      </c>
      <c r="K13" s="36">
        <v>6.87</v>
      </c>
      <c r="L13" s="36">
        <v>13.7</v>
      </c>
      <c r="M13" s="36">
        <v>30.34</v>
      </c>
      <c r="N13" s="36">
        <v>23.06</v>
      </c>
      <c r="O13" s="36">
        <v>15.62</v>
      </c>
      <c r="P13" s="36">
        <v>8.0</v>
      </c>
      <c r="Q13" s="36">
        <v>6.55</v>
      </c>
      <c r="R13" s="36">
        <v>8.0</v>
      </c>
      <c r="S13" s="36">
        <v>0.03</v>
      </c>
      <c r="T13" s="36">
        <v>445142.0</v>
      </c>
      <c r="U13" s="36">
        <v>741233.0</v>
      </c>
      <c r="V13" s="36">
        <v>4.49</v>
      </c>
      <c r="W13" s="36">
        <v>5662.33</v>
      </c>
      <c r="X13" s="36">
        <v>5310.29</v>
      </c>
      <c r="Y13" s="36">
        <v>18048.45</v>
      </c>
      <c r="Z13" s="36">
        <v>14743.02</v>
      </c>
      <c r="AA13" s="36">
        <v>9661.55</v>
      </c>
      <c r="AB13" s="36">
        <v>34.74</v>
      </c>
      <c r="AC13" s="36">
        <v>96.17</v>
      </c>
      <c r="AD13" s="36">
        <v>1.62</v>
      </c>
      <c r="AE13" s="36">
        <v>8.8</v>
      </c>
      <c r="AF13" s="36">
        <v>34.73</v>
      </c>
      <c r="AG13" s="36">
        <v>0.0</v>
      </c>
      <c r="AH13" s="38">
        <f t="shared" si="7"/>
        <v>0.6616492147</v>
      </c>
      <c r="AI13" s="38">
        <f t="shared" si="8"/>
        <v>0.7758369723</v>
      </c>
      <c r="AJ13" s="38">
        <f t="shared" si="9"/>
        <v>1.052955677</v>
      </c>
      <c r="AK13" s="38">
        <f t="shared" si="10"/>
        <v>0.1613194292</v>
      </c>
      <c r="AL13" s="38">
        <f t="shared" si="11"/>
        <v>0.1317750594</v>
      </c>
      <c r="AM13" s="38">
        <f t="shared" si="12"/>
        <v>0.08635620959</v>
      </c>
      <c r="AN13" s="38">
        <f t="shared" si="13"/>
        <v>0.551</v>
      </c>
      <c r="AO13" s="38">
        <f t="shared" si="14"/>
        <v>0.167</v>
      </c>
      <c r="AP13" s="38">
        <f t="shared" si="15"/>
        <v>0.333</v>
      </c>
      <c r="AQ13" s="38">
        <f t="shared" si="16"/>
        <v>0.487</v>
      </c>
      <c r="AR13" s="38">
        <f t="shared" si="17"/>
        <v>0.41</v>
      </c>
      <c r="AS13" s="38">
        <f t="shared" si="18"/>
        <v>0.756</v>
      </c>
      <c r="AT13" s="38">
        <f t="shared" si="19"/>
        <v>0.859</v>
      </c>
      <c r="AU13" s="38">
        <f t="shared" si="20"/>
        <v>0.457525</v>
      </c>
      <c r="AV13" s="38">
        <f t="shared" si="21"/>
        <v>0.859</v>
      </c>
      <c r="AW13" s="38">
        <f t="shared" si="22"/>
        <v>0.744</v>
      </c>
      <c r="AX13" s="38">
        <f t="shared" si="23"/>
        <v>0.821</v>
      </c>
      <c r="AY13" s="38">
        <f t="shared" si="24"/>
        <v>0.551</v>
      </c>
      <c r="AZ13" s="38">
        <f t="shared" si="25"/>
        <v>1</v>
      </c>
      <c r="BA13" s="38">
        <f t="shared" si="26"/>
        <v>0.7834</v>
      </c>
      <c r="BB13" s="38">
        <f t="shared" si="27"/>
        <v>0.795</v>
      </c>
      <c r="BC13" s="38">
        <f t="shared" si="28"/>
        <v>0.859</v>
      </c>
      <c r="BD13" s="38">
        <f t="shared" si="29"/>
        <v>0.577</v>
      </c>
      <c r="BE13" s="38">
        <f t="shared" si="30"/>
        <v>0.936</v>
      </c>
      <c r="BF13" s="38">
        <f t="shared" si="31"/>
        <v>1</v>
      </c>
      <c r="BG13" s="38">
        <f t="shared" si="32"/>
        <v>0.026</v>
      </c>
      <c r="BH13" s="38">
        <f t="shared" si="33"/>
        <v>0.76165</v>
      </c>
      <c r="BI13" s="38">
        <f t="shared" si="34"/>
        <v>0.244</v>
      </c>
      <c r="BJ13" s="38">
        <f t="shared" si="35"/>
        <v>0.141</v>
      </c>
      <c r="BK13" s="38">
        <f t="shared" si="36"/>
        <v>0.474</v>
      </c>
      <c r="BL13" s="38">
        <f t="shared" si="37"/>
        <v>0.5995125</v>
      </c>
      <c r="BM13" s="38">
        <f t="shared" si="38"/>
        <v>0.423</v>
      </c>
      <c r="BN13" s="39">
        <f t="shared" si="39"/>
        <v>1</v>
      </c>
      <c r="BO13" s="38">
        <f t="shared" si="40"/>
        <v>0.7115</v>
      </c>
      <c r="BP13" s="38">
        <f t="shared" si="41"/>
        <v>0.679</v>
      </c>
      <c r="BQ13" s="38">
        <f t="shared" si="42"/>
        <v>0.2599</v>
      </c>
      <c r="BR13" s="40" t="str">
        <f t="shared" si="43"/>
        <v>High</v>
      </c>
      <c r="BS13" s="38">
        <f t="shared" si="44"/>
        <v>0.560825625</v>
      </c>
      <c r="BT13" s="40" t="str">
        <f t="shared" si="45"/>
        <v>Y</v>
      </c>
      <c r="BU13" s="40" t="str">
        <f t="shared" si="46"/>
        <v>Y</v>
      </c>
      <c r="BV13" s="40" t="str">
        <f t="shared" si="47"/>
        <v>Y</v>
      </c>
      <c r="BW13" s="40" t="str">
        <f t="shared" si="48"/>
        <v>Y</v>
      </c>
      <c r="BX13" s="40" t="str">
        <f t="shared" si="49"/>
        <v>Y</v>
      </c>
      <c r="BY13" s="39">
        <f t="shared" si="50"/>
        <v>10</v>
      </c>
      <c r="BZ13" s="41">
        <f t="shared" si="51"/>
        <v>0.04</v>
      </c>
      <c r="CA13" s="12">
        <f t="shared" ref="CA13:CG13" si="117">IF(ISNUMBER(F13),F13,IFERROR(VALUE(SUBSTITUTE(SUBSTITUTE(SUBSTITUTE(SUBSTITUTE(F13,"(","-"),")",""),",","")," ","")),"" ))</f>
        <v>5591.5</v>
      </c>
      <c r="CB13" s="12">
        <f t="shared" si="117"/>
        <v>111880.2</v>
      </c>
      <c r="CC13" s="12">
        <f t="shared" si="117"/>
        <v>20.22</v>
      </c>
      <c r="CD13" s="12">
        <f t="shared" si="117"/>
        <v>30.56</v>
      </c>
      <c r="CE13" s="12">
        <f t="shared" si="117"/>
        <v>5.33</v>
      </c>
      <c r="CF13" s="12">
        <f t="shared" si="117"/>
        <v>6.87</v>
      </c>
      <c r="CG13" s="12">
        <f t="shared" si="117"/>
        <v>13.7</v>
      </c>
      <c r="CH13" s="12">
        <f t="shared" si="53"/>
        <v>34.74</v>
      </c>
      <c r="CI13" s="12">
        <f t="shared" ref="CI13:CK13" si="118">IF(ISNUMBER(M13),M13,IFERROR(VALUE(SUBSTITUTE(SUBSTITUTE(SUBSTITUTE(SUBSTITUTE(SUBSTITUTE(M13,"(","-"),")",""),"%",""),",","")," ","")),"" ))</f>
        <v>30.34</v>
      </c>
      <c r="CJ13" s="12">
        <f t="shared" si="118"/>
        <v>23.06</v>
      </c>
      <c r="CK13" s="12">
        <f t="shared" si="118"/>
        <v>15.62</v>
      </c>
      <c r="CL13" s="12">
        <f t="shared" si="55"/>
        <v>8</v>
      </c>
      <c r="CM13" s="12">
        <f t="shared" si="56"/>
        <v>6.55</v>
      </c>
      <c r="CN13" s="12">
        <f t="shared" ref="CN13:CO13" si="119">IF(ISNUMBER(R13),R13,IFERROR(VALUE(SUBSTITUTE(SUBSTITUTE(SUBSTITUTE(SUBSTITUTE(R13,"(","-"),")",""),",","")," ","")),"" ))</f>
        <v>8</v>
      </c>
      <c r="CO13" s="12">
        <f t="shared" si="119"/>
        <v>0.03</v>
      </c>
      <c r="CP13" s="12">
        <f t="shared" ref="CP13:CR13" si="120">IF(ISNUMBER(AC13),AC13,IFERROR(VALUE(SUBSTITUTE(SUBSTITUTE(SUBSTITUTE(SUBSTITUTE(AC13,"(","-"),")",""),",","")," ","")),"" ))</f>
        <v>96.17</v>
      </c>
      <c r="CQ13" s="12">
        <f t="shared" si="120"/>
        <v>1.62</v>
      </c>
      <c r="CR13" s="12">
        <f t="shared" si="120"/>
        <v>8.8</v>
      </c>
      <c r="CS13" s="12">
        <f t="shared" ref="CS13:CT13" si="121">IF(ISNUMBER(AF13),AF13,IFERROR(VALUE(SUBSTITUTE(SUBSTITUTE(SUBSTITUTE(SUBSTITUTE(SUBSTITUTE(AF13,"(","-"),")",""),"%",""),",","")," ","")),"" ))</f>
        <v>34.73</v>
      </c>
      <c r="CT13" s="12">
        <f t="shared" si="121"/>
        <v>0</v>
      </c>
      <c r="CU13" s="12">
        <f t="shared" si="60"/>
        <v>741233</v>
      </c>
      <c r="CV13" s="12">
        <f t="shared" si="61"/>
        <v>4.49</v>
      </c>
      <c r="CW13" s="12">
        <f t="shared" ref="CW13:DA13" si="122">IF(ISNUMBER(W13),W13,IFERROR(VALUE(SUBSTITUTE(SUBSTITUTE(SUBSTITUTE(SUBSTITUTE(W13,"(","-"),")",""),",","")," ","")),"" ))</f>
        <v>5662.33</v>
      </c>
      <c r="CX13" s="12">
        <f t="shared" si="122"/>
        <v>5310.29</v>
      </c>
      <c r="CY13" s="12">
        <f t="shared" si="122"/>
        <v>18048.45</v>
      </c>
      <c r="CZ13" s="12">
        <f t="shared" si="122"/>
        <v>14743.02</v>
      </c>
      <c r="DA13" s="12">
        <f t="shared" si="122"/>
        <v>9661.55</v>
      </c>
    </row>
    <row r="14" ht="15.75" customHeight="1">
      <c r="A14" s="25">
        <v>13.0</v>
      </c>
      <c r="B14" s="26" t="s">
        <v>314</v>
      </c>
      <c r="C14" s="9" t="s">
        <v>315</v>
      </c>
      <c r="D14" s="10" t="s">
        <v>316</v>
      </c>
      <c r="E14" s="27" t="s">
        <v>317</v>
      </c>
      <c r="F14" s="28">
        <v>272.0</v>
      </c>
      <c r="G14" s="28">
        <v>681.65</v>
      </c>
      <c r="H14" s="28">
        <v>26.28</v>
      </c>
      <c r="I14" s="28">
        <v>31.05</v>
      </c>
      <c r="J14" s="28">
        <v>5.02</v>
      </c>
      <c r="K14" s="28">
        <v>2.26</v>
      </c>
      <c r="L14" s="28">
        <v>12.02</v>
      </c>
      <c r="M14" s="28">
        <v>29.45</v>
      </c>
      <c r="N14" s="28">
        <v>25.18</v>
      </c>
      <c r="O14" s="28">
        <v>8.52</v>
      </c>
      <c r="P14" s="28">
        <v>5.0</v>
      </c>
      <c r="Q14" s="28">
        <v>5.78</v>
      </c>
      <c r="R14" s="28">
        <v>7.0</v>
      </c>
      <c r="S14" s="28">
        <v>0.27</v>
      </c>
      <c r="T14" s="28">
        <v>11400.0</v>
      </c>
      <c r="U14" s="28">
        <v>38383.0</v>
      </c>
      <c r="V14" s="28">
        <v>-8.8</v>
      </c>
      <c r="W14" s="28">
        <v>303.23</v>
      </c>
      <c r="X14" s="28">
        <v>298.16</v>
      </c>
      <c r="Y14" s="28">
        <v>82.43</v>
      </c>
      <c r="Z14" s="28">
        <v>9.2</v>
      </c>
      <c r="AA14" s="28">
        <v>-2.42</v>
      </c>
      <c r="AB14" s="28">
        <v>-846.35</v>
      </c>
      <c r="AC14" s="28">
        <v>17.0</v>
      </c>
      <c r="AD14" s="28">
        <v>1.38</v>
      </c>
      <c r="AE14" s="28">
        <v>7.36</v>
      </c>
      <c r="AF14" s="28">
        <v>65.1</v>
      </c>
      <c r="AG14" s="28">
        <v>0.0</v>
      </c>
      <c r="AH14" s="29">
        <f t="shared" si="7"/>
        <v>0.8463768116</v>
      </c>
      <c r="AI14" s="29">
        <f t="shared" si="8"/>
        <v>2.221238938</v>
      </c>
      <c r="AJ14" s="29">
        <f t="shared" si="9"/>
        <v>0.9122618728</v>
      </c>
      <c r="AK14" s="29">
        <f t="shared" si="10"/>
        <v>0.120927162</v>
      </c>
      <c r="AL14" s="29">
        <f t="shared" si="11"/>
        <v>0.01349666251</v>
      </c>
      <c r="AM14" s="29">
        <f t="shared" si="12"/>
        <v>-0.003550209052</v>
      </c>
      <c r="AN14" s="29">
        <f t="shared" si="13"/>
        <v>0.282</v>
      </c>
      <c r="AO14" s="29">
        <f t="shared" si="14"/>
        <v>0.231</v>
      </c>
      <c r="AP14" s="29">
        <f t="shared" si="15"/>
        <v>0.526</v>
      </c>
      <c r="AQ14" s="29">
        <f t="shared" si="16"/>
        <v>0.359</v>
      </c>
      <c r="AR14" s="29" t="str">
        <f t="shared" si="17"/>
        <v/>
      </c>
      <c r="AS14" s="29">
        <f t="shared" si="18"/>
        <v>0.526</v>
      </c>
      <c r="AT14" s="29">
        <f t="shared" si="19"/>
        <v>0.077</v>
      </c>
      <c r="AU14" s="29">
        <f t="shared" si="20"/>
        <v>0.3474411765</v>
      </c>
      <c r="AV14" s="29">
        <f t="shared" si="21"/>
        <v>0.846</v>
      </c>
      <c r="AW14" s="29">
        <f t="shared" si="22"/>
        <v>0.795</v>
      </c>
      <c r="AX14" s="29">
        <f t="shared" si="23"/>
        <v>0.397</v>
      </c>
      <c r="AY14" s="29">
        <f t="shared" si="24"/>
        <v>0.256</v>
      </c>
      <c r="AZ14" s="29">
        <f t="shared" si="25"/>
        <v>0.577</v>
      </c>
      <c r="BA14" s="29">
        <f t="shared" si="26"/>
        <v>0.5896</v>
      </c>
      <c r="BB14" s="29">
        <f t="shared" si="27"/>
        <v>0.5</v>
      </c>
      <c r="BC14" s="29">
        <f t="shared" si="28"/>
        <v>0.564</v>
      </c>
      <c r="BD14" s="29">
        <f t="shared" si="29"/>
        <v>0.487</v>
      </c>
      <c r="BE14" s="29">
        <f t="shared" si="30"/>
        <v>0.731</v>
      </c>
      <c r="BF14" s="29">
        <f t="shared" si="31"/>
        <v>1</v>
      </c>
      <c r="BG14" s="29">
        <f t="shared" si="32"/>
        <v>0.513</v>
      </c>
      <c r="BH14" s="29">
        <f t="shared" si="33"/>
        <v>0.61735</v>
      </c>
      <c r="BI14" s="29">
        <f t="shared" si="34"/>
        <v>0.474</v>
      </c>
      <c r="BJ14" s="29">
        <f t="shared" si="35"/>
        <v>0.923</v>
      </c>
      <c r="BK14" s="29">
        <f t="shared" si="36"/>
        <v>0.013</v>
      </c>
      <c r="BL14" s="29">
        <f t="shared" si="37"/>
        <v>0.7338875</v>
      </c>
      <c r="BM14" s="29">
        <f t="shared" si="38"/>
        <v>0.077</v>
      </c>
      <c r="BN14" s="30">
        <f t="shared" si="39"/>
        <v>1</v>
      </c>
      <c r="BO14" s="29">
        <f t="shared" si="40"/>
        <v>0.5385</v>
      </c>
      <c r="BP14" s="29">
        <f t="shared" si="41"/>
        <v>0.154</v>
      </c>
      <c r="BQ14" s="29">
        <f t="shared" si="42"/>
        <v>0.4874</v>
      </c>
      <c r="BR14" s="31" t="str">
        <f t="shared" si="43"/>
        <v>High</v>
      </c>
      <c r="BS14" s="29" t="str">
        <f t="shared" si="44"/>
        <v/>
      </c>
      <c r="BT14" s="31" t="str">
        <f t="shared" si="45"/>
        <v>N</v>
      </c>
      <c r="BU14" s="31" t="str">
        <f t="shared" si="46"/>
        <v>Y</v>
      </c>
      <c r="BV14" s="31" t="str">
        <f t="shared" si="47"/>
        <v>Y</v>
      </c>
      <c r="BW14" s="31" t="str">
        <f t="shared" si="48"/>
        <v>Y</v>
      </c>
      <c r="BX14" s="31" t="str">
        <f t="shared" si="49"/>
        <v>N</v>
      </c>
      <c r="BY14" s="30" t="str">
        <f t="shared" si="50"/>
        <v/>
      </c>
      <c r="BZ14" s="32" t="str">
        <f t="shared" si="51"/>
        <v/>
      </c>
      <c r="CA14" s="9">
        <f t="shared" ref="CA14:CG14" si="123">IF(ISNUMBER(F14),F14,IFERROR(VALUE(SUBSTITUTE(SUBSTITUTE(SUBSTITUTE(SUBSTITUTE(F14,"(","-"),")",""),",","")," ","")),"" ))</f>
        <v>272</v>
      </c>
      <c r="CB14" s="9">
        <f t="shared" si="123"/>
        <v>681.65</v>
      </c>
      <c r="CC14" s="9">
        <f t="shared" si="123"/>
        <v>26.28</v>
      </c>
      <c r="CD14" s="9">
        <f t="shared" si="123"/>
        <v>31.05</v>
      </c>
      <c r="CE14" s="9">
        <f t="shared" si="123"/>
        <v>5.02</v>
      </c>
      <c r="CF14" s="9">
        <f t="shared" si="123"/>
        <v>2.26</v>
      </c>
      <c r="CG14" s="9">
        <f t="shared" si="123"/>
        <v>12.02</v>
      </c>
      <c r="CH14" s="9">
        <f t="shared" si="53"/>
        <v>-846.35</v>
      </c>
      <c r="CI14" s="9">
        <f t="shared" ref="CI14:CK14" si="124">IF(ISNUMBER(M14),M14,IFERROR(VALUE(SUBSTITUTE(SUBSTITUTE(SUBSTITUTE(SUBSTITUTE(SUBSTITUTE(M14,"(","-"),")",""),"%",""),",","")," ","")),"" ))</f>
        <v>29.45</v>
      </c>
      <c r="CJ14" s="9">
        <f t="shared" si="124"/>
        <v>25.18</v>
      </c>
      <c r="CK14" s="9">
        <f t="shared" si="124"/>
        <v>8.52</v>
      </c>
      <c r="CL14" s="9">
        <f t="shared" si="55"/>
        <v>5</v>
      </c>
      <c r="CM14" s="9">
        <f t="shared" si="56"/>
        <v>5.78</v>
      </c>
      <c r="CN14" s="9">
        <f t="shared" ref="CN14:CO14" si="125">IF(ISNUMBER(R14),R14,IFERROR(VALUE(SUBSTITUTE(SUBSTITUTE(SUBSTITUTE(SUBSTITUTE(R14,"(","-"),")",""),",","")," ","")),"" ))</f>
        <v>7</v>
      </c>
      <c r="CO14" s="9">
        <f t="shared" si="125"/>
        <v>0.27</v>
      </c>
      <c r="CP14" s="9">
        <f t="shared" ref="CP14:CR14" si="126">IF(ISNUMBER(AC14),AC14,IFERROR(VALUE(SUBSTITUTE(SUBSTITUTE(SUBSTITUTE(SUBSTITUTE(AC14,"(","-"),")",""),",","")," ","")),"" ))</f>
        <v>17</v>
      </c>
      <c r="CQ14" s="9">
        <f t="shared" si="126"/>
        <v>1.38</v>
      </c>
      <c r="CR14" s="9">
        <f t="shared" si="126"/>
        <v>7.36</v>
      </c>
      <c r="CS14" s="9">
        <f t="shared" ref="CS14:CT14" si="127">IF(ISNUMBER(AF14),AF14,IFERROR(VALUE(SUBSTITUTE(SUBSTITUTE(SUBSTITUTE(SUBSTITUTE(SUBSTITUTE(AF14,"(","-"),")",""),"%",""),",","")," ","")),"" ))</f>
        <v>65.1</v>
      </c>
      <c r="CT14" s="9">
        <f t="shared" si="127"/>
        <v>0</v>
      </c>
      <c r="CU14" s="9">
        <f t="shared" si="60"/>
        <v>38383</v>
      </c>
      <c r="CV14" s="9">
        <f t="shared" si="61"/>
        <v>-8.8</v>
      </c>
      <c r="CW14" s="9">
        <f t="shared" ref="CW14:DA14" si="128">IF(ISNUMBER(W14),W14,IFERROR(VALUE(SUBSTITUTE(SUBSTITUTE(SUBSTITUTE(SUBSTITUTE(W14,"(","-"),")",""),",","")," ","")),"" ))</f>
        <v>303.23</v>
      </c>
      <c r="CX14" s="9">
        <f t="shared" si="128"/>
        <v>298.16</v>
      </c>
      <c r="CY14" s="9">
        <f t="shared" si="128"/>
        <v>82.43</v>
      </c>
      <c r="CZ14" s="9">
        <f t="shared" si="128"/>
        <v>9.2</v>
      </c>
      <c r="DA14" s="9">
        <f t="shared" si="128"/>
        <v>-2.42</v>
      </c>
    </row>
    <row r="15" ht="15.75" customHeight="1">
      <c r="A15" s="33">
        <v>14.0</v>
      </c>
      <c r="B15" s="34" t="s">
        <v>58</v>
      </c>
      <c r="C15" s="12" t="s">
        <v>59</v>
      </c>
      <c r="D15" s="13" t="s">
        <v>60</v>
      </c>
      <c r="E15" s="35" t="s">
        <v>61</v>
      </c>
      <c r="F15" s="36">
        <v>448.55</v>
      </c>
      <c r="G15" s="36">
        <v>118334.79</v>
      </c>
      <c r="H15" s="36">
        <v>16.59</v>
      </c>
      <c r="I15" s="36">
        <v>16.9</v>
      </c>
      <c r="J15" s="36">
        <v>3.28</v>
      </c>
      <c r="K15" s="36">
        <v>2.64</v>
      </c>
      <c r="L15" s="36">
        <v>7.55</v>
      </c>
      <c r="M15" s="36">
        <v>28.99</v>
      </c>
      <c r="N15" s="36">
        <v>32.5</v>
      </c>
      <c r="O15" s="36">
        <v>16.26</v>
      </c>
      <c r="P15" s="36">
        <v>4.0</v>
      </c>
      <c r="Q15" s="36">
        <v>8.16</v>
      </c>
      <c r="R15" s="36">
        <v>8.0</v>
      </c>
      <c r="S15" s="36">
        <v>0.58</v>
      </c>
      <c r="T15" s="36">
        <v>3336597.0</v>
      </c>
      <c r="U15" s="36">
        <v>7580359.0</v>
      </c>
      <c r="V15" s="36">
        <v>38.42</v>
      </c>
      <c r="W15" s="36">
        <v>442.0</v>
      </c>
      <c r="X15" s="36">
        <v>401.12</v>
      </c>
      <c r="Y15" s="36">
        <v>55734.2</v>
      </c>
      <c r="Z15" s="36">
        <v>33041.0</v>
      </c>
      <c r="AA15" s="36">
        <v>21260.2</v>
      </c>
      <c r="AB15" s="36">
        <v>16.7</v>
      </c>
      <c r="AC15" s="36">
        <v>6.82</v>
      </c>
      <c r="AD15" s="36">
        <v>1.45</v>
      </c>
      <c r="AE15" s="36">
        <v>4.68</v>
      </c>
      <c r="AF15" s="36">
        <v>51.03</v>
      </c>
      <c r="AG15" s="36">
        <v>0.0</v>
      </c>
      <c r="AH15" s="38">
        <f t="shared" si="7"/>
        <v>0.9816568047</v>
      </c>
      <c r="AI15" s="38">
        <f t="shared" si="8"/>
        <v>1.242424242</v>
      </c>
      <c r="AJ15" s="38">
        <f t="shared" si="9"/>
        <v>1.118243917</v>
      </c>
      <c r="AK15" s="38">
        <f t="shared" si="10"/>
        <v>0.4709874416</v>
      </c>
      <c r="AL15" s="38">
        <f t="shared" si="11"/>
        <v>0.2792162812</v>
      </c>
      <c r="AM15" s="38">
        <f t="shared" si="12"/>
        <v>0.1796614504</v>
      </c>
      <c r="AN15" s="38">
        <f t="shared" si="13"/>
        <v>0.782</v>
      </c>
      <c r="AO15" s="38">
        <f t="shared" si="14"/>
        <v>0.564</v>
      </c>
      <c r="AP15" s="38">
        <f t="shared" si="15"/>
        <v>0.885</v>
      </c>
      <c r="AQ15" s="38">
        <f t="shared" si="16"/>
        <v>0.782</v>
      </c>
      <c r="AR15" s="38">
        <f t="shared" si="17"/>
        <v>0.718</v>
      </c>
      <c r="AS15" s="38">
        <f t="shared" si="18"/>
        <v>0.372</v>
      </c>
      <c r="AT15" s="38">
        <f t="shared" si="19"/>
        <v>0.513</v>
      </c>
      <c r="AU15" s="38">
        <f t="shared" si="20"/>
        <v>0.709375</v>
      </c>
      <c r="AV15" s="38">
        <f t="shared" si="21"/>
        <v>0.833</v>
      </c>
      <c r="AW15" s="38">
        <f t="shared" si="22"/>
        <v>0.91</v>
      </c>
      <c r="AX15" s="38">
        <f t="shared" si="23"/>
        <v>0.846</v>
      </c>
      <c r="AY15" s="38">
        <f t="shared" si="24"/>
        <v>0.551</v>
      </c>
      <c r="AZ15" s="38">
        <f t="shared" si="25"/>
        <v>0.308</v>
      </c>
      <c r="BA15" s="38">
        <f t="shared" si="26"/>
        <v>0.6742</v>
      </c>
      <c r="BB15" s="38">
        <f t="shared" si="27"/>
        <v>0.231</v>
      </c>
      <c r="BC15" s="38">
        <f t="shared" si="28"/>
        <v>0.385</v>
      </c>
      <c r="BD15" s="38">
        <f t="shared" si="29"/>
        <v>0.526</v>
      </c>
      <c r="BE15" s="38">
        <f t="shared" si="30"/>
        <v>0.244</v>
      </c>
      <c r="BF15" s="38">
        <f t="shared" si="31"/>
        <v>1</v>
      </c>
      <c r="BG15" s="38">
        <f t="shared" si="32"/>
        <v>0.154</v>
      </c>
      <c r="BH15" s="38">
        <f t="shared" si="33"/>
        <v>0.35605</v>
      </c>
      <c r="BI15" s="38">
        <f t="shared" si="34"/>
        <v>0.628</v>
      </c>
      <c r="BJ15" s="38">
        <f t="shared" si="35"/>
        <v>0.487</v>
      </c>
      <c r="BK15" s="38">
        <f t="shared" si="36"/>
        <v>0.731</v>
      </c>
      <c r="BL15" s="38">
        <f t="shared" si="37"/>
        <v>0.5429125</v>
      </c>
      <c r="BM15" s="38">
        <f t="shared" si="38"/>
        <v>0.872</v>
      </c>
      <c r="BN15" s="39">
        <f t="shared" si="39"/>
        <v>1</v>
      </c>
      <c r="BO15" s="38">
        <f t="shared" si="40"/>
        <v>0.936</v>
      </c>
      <c r="BP15" s="38">
        <f t="shared" si="41"/>
        <v>0.923</v>
      </c>
      <c r="BQ15" s="38">
        <f t="shared" si="42"/>
        <v>0.3782</v>
      </c>
      <c r="BR15" s="40" t="str">
        <f t="shared" si="43"/>
        <v>High</v>
      </c>
      <c r="BS15" s="38">
        <f t="shared" si="44"/>
        <v>0.587445625</v>
      </c>
      <c r="BT15" s="40" t="str">
        <f t="shared" si="45"/>
        <v>Y</v>
      </c>
      <c r="BU15" s="40" t="str">
        <f t="shared" si="46"/>
        <v>Y</v>
      </c>
      <c r="BV15" s="40" t="str">
        <f t="shared" si="47"/>
        <v>Y</v>
      </c>
      <c r="BW15" s="40" t="str">
        <f t="shared" si="48"/>
        <v>Y</v>
      </c>
      <c r="BX15" s="40" t="str">
        <f t="shared" si="49"/>
        <v>Y</v>
      </c>
      <c r="BY15" s="39">
        <f t="shared" si="50"/>
        <v>5</v>
      </c>
      <c r="BZ15" s="41">
        <f t="shared" si="51"/>
        <v>0.04</v>
      </c>
      <c r="CA15" s="12">
        <f t="shared" ref="CA15:CG15" si="129">IF(ISNUMBER(F15),F15,IFERROR(VALUE(SUBSTITUTE(SUBSTITUTE(SUBSTITUTE(SUBSTITUTE(F15,"(","-"),")",""),",","")," ","")),"" ))</f>
        <v>448.55</v>
      </c>
      <c r="CB15" s="12">
        <f t="shared" si="129"/>
        <v>118334.79</v>
      </c>
      <c r="CC15" s="12">
        <f t="shared" si="129"/>
        <v>16.59</v>
      </c>
      <c r="CD15" s="12">
        <f t="shared" si="129"/>
        <v>16.9</v>
      </c>
      <c r="CE15" s="12">
        <f t="shared" si="129"/>
        <v>3.28</v>
      </c>
      <c r="CF15" s="12">
        <f t="shared" si="129"/>
        <v>2.64</v>
      </c>
      <c r="CG15" s="12">
        <f t="shared" si="129"/>
        <v>7.55</v>
      </c>
      <c r="CH15" s="12">
        <f t="shared" si="53"/>
        <v>16.7</v>
      </c>
      <c r="CI15" s="12">
        <f t="shared" ref="CI15:CK15" si="130">IF(ISNUMBER(M15),M15,IFERROR(VALUE(SUBSTITUTE(SUBSTITUTE(SUBSTITUTE(SUBSTITUTE(SUBSTITUTE(M15,"(","-"),")",""),"%",""),",","")," ","")),"" ))</f>
        <v>28.99</v>
      </c>
      <c r="CJ15" s="12">
        <f t="shared" si="130"/>
        <v>32.5</v>
      </c>
      <c r="CK15" s="12">
        <f t="shared" si="130"/>
        <v>16.26</v>
      </c>
      <c r="CL15" s="12">
        <f t="shared" si="55"/>
        <v>4</v>
      </c>
      <c r="CM15" s="12">
        <f t="shared" si="56"/>
        <v>8.16</v>
      </c>
      <c r="CN15" s="12">
        <f t="shared" ref="CN15:CO15" si="131">IF(ISNUMBER(R15),R15,IFERROR(VALUE(SUBSTITUTE(SUBSTITUTE(SUBSTITUTE(SUBSTITUTE(R15,"(","-"),")",""),",","")," ","")),"" ))</f>
        <v>8</v>
      </c>
      <c r="CO15" s="12">
        <f t="shared" si="131"/>
        <v>0.58</v>
      </c>
      <c r="CP15" s="12">
        <f t="shared" ref="CP15:CR15" si="132">IF(ISNUMBER(AC15),AC15,IFERROR(VALUE(SUBSTITUTE(SUBSTITUTE(SUBSTITUTE(SUBSTITUTE(AC15,"(","-"),")",""),",","")," ","")),"" ))</f>
        <v>6.82</v>
      </c>
      <c r="CQ15" s="12">
        <f t="shared" si="132"/>
        <v>1.45</v>
      </c>
      <c r="CR15" s="12">
        <f t="shared" si="132"/>
        <v>4.68</v>
      </c>
      <c r="CS15" s="12">
        <f t="shared" ref="CS15:CT15" si="133">IF(ISNUMBER(AF15),AF15,IFERROR(VALUE(SUBSTITUTE(SUBSTITUTE(SUBSTITUTE(SUBSTITUTE(SUBSTITUTE(AF15,"(","-"),")",""),"%",""),",","")," ","")),"" ))</f>
        <v>51.03</v>
      </c>
      <c r="CT15" s="12">
        <f t="shared" si="133"/>
        <v>0</v>
      </c>
      <c r="CU15" s="12">
        <f t="shared" si="60"/>
        <v>7580359</v>
      </c>
      <c r="CV15" s="12">
        <f t="shared" si="61"/>
        <v>38.42</v>
      </c>
      <c r="CW15" s="12">
        <f t="shared" ref="CW15:DA15" si="134">IF(ISNUMBER(W15),W15,IFERROR(VALUE(SUBSTITUTE(SUBSTITUTE(SUBSTITUTE(SUBSTITUTE(W15,"(","-"),")",""),",","")," ","")),"" ))</f>
        <v>442</v>
      </c>
      <c r="CX15" s="12">
        <f t="shared" si="134"/>
        <v>401.12</v>
      </c>
      <c r="CY15" s="12">
        <f t="shared" si="134"/>
        <v>55734.2</v>
      </c>
      <c r="CZ15" s="12">
        <f t="shared" si="134"/>
        <v>33041</v>
      </c>
      <c r="DA15" s="12">
        <f t="shared" si="134"/>
        <v>21260.2</v>
      </c>
    </row>
    <row r="16" ht="15.75" customHeight="1">
      <c r="A16" s="25">
        <v>15.0</v>
      </c>
      <c r="B16" s="26" t="s">
        <v>98</v>
      </c>
      <c r="C16" s="9" t="s">
        <v>67</v>
      </c>
      <c r="D16" s="10" t="s">
        <v>99</v>
      </c>
      <c r="E16" s="27" t="s">
        <v>100</v>
      </c>
      <c r="F16" s="28">
        <v>891.95</v>
      </c>
      <c r="G16" s="28">
        <v>2765.4</v>
      </c>
      <c r="H16" s="28">
        <v>24.27</v>
      </c>
      <c r="I16" s="28">
        <v>24.27</v>
      </c>
      <c r="J16" s="28">
        <v>3.41</v>
      </c>
      <c r="K16" s="28">
        <v>2.28</v>
      </c>
      <c r="L16" s="28">
        <v>12.08</v>
      </c>
      <c r="M16" s="28">
        <v>28.38</v>
      </c>
      <c r="N16" s="28">
        <v>27.37</v>
      </c>
      <c r="O16" s="28">
        <v>14.33</v>
      </c>
      <c r="P16" s="28">
        <v>4.0</v>
      </c>
      <c r="Q16" s="28">
        <v>6.61</v>
      </c>
      <c r="R16" s="28">
        <v>8.0</v>
      </c>
      <c r="S16" s="28">
        <v>0.34</v>
      </c>
      <c r="T16" s="28">
        <v>92894.0</v>
      </c>
      <c r="U16" s="28">
        <v>203750.0</v>
      </c>
      <c r="V16" s="28">
        <v>14.74</v>
      </c>
      <c r="W16" s="28">
        <v>910.38</v>
      </c>
      <c r="X16" s="28">
        <v>907.92</v>
      </c>
      <c r="Y16" s="28">
        <v>672.72</v>
      </c>
      <c r="Z16" s="28">
        <v>202.9</v>
      </c>
      <c r="AA16" s="28">
        <v>347.96</v>
      </c>
      <c r="AB16" s="28">
        <v>23.84</v>
      </c>
      <c r="AC16" s="28">
        <v>5.52</v>
      </c>
      <c r="AD16" s="28">
        <v>1.59</v>
      </c>
      <c r="AE16" s="28">
        <v>5.51</v>
      </c>
      <c r="AF16" s="28">
        <v>56.66</v>
      </c>
      <c r="AG16" s="28">
        <v>0.0</v>
      </c>
      <c r="AH16" s="29">
        <f t="shared" si="7"/>
        <v>1</v>
      </c>
      <c r="AI16" s="29">
        <f t="shared" si="8"/>
        <v>1.495614035</v>
      </c>
      <c r="AJ16" s="29">
        <f t="shared" si="9"/>
        <v>0.9824103445</v>
      </c>
      <c r="AK16" s="29">
        <f t="shared" si="10"/>
        <v>0.2432631807</v>
      </c>
      <c r="AL16" s="29">
        <f t="shared" si="11"/>
        <v>0.07337094091</v>
      </c>
      <c r="AM16" s="29">
        <f t="shared" si="12"/>
        <v>0.1258262819</v>
      </c>
      <c r="AN16" s="29">
        <f t="shared" si="13"/>
        <v>0.372</v>
      </c>
      <c r="AO16" s="29">
        <f t="shared" si="14"/>
        <v>0.513</v>
      </c>
      <c r="AP16" s="29">
        <f t="shared" si="15"/>
        <v>0.513</v>
      </c>
      <c r="AQ16" s="29">
        <f t="shared" si="16"/>
        <v>0.5</v>
      </c>
      <c r="AR16" s="29">
        <f t="shared" si="17"/>
        <v>0.59</v>
      </c>
      <c r="AS16" s="29">
        <f t="shared" si="18"/>
        <v>0.346</v>
      </c>
      <c r="AT16" s="29">
        <f t="shared" si="19"/>
        <v>0.423</v>
      </c>
      <c r="AU16" s="29">
        <f t="shared" si="20"/>
        <v>0.475125</v>
      </c>
      <c r="AV16" s="29">
        <f t="shared" si="21"/>
        <v>0.821</v>
      </c>
      <c r="AW16" s="29">
        <f t="shared" si="22"/>
        <v>0.859</v>
      </c>
      <c r="AX16" s="29">
        <f t="shared" si="23"/>
        <v>0.756</v>
      </c>
      <c r="AY16" s="29">
        <f t="shared" si="24"/>
        <v>0.551</v>
      </c>
      <c r="AZ16" s="29">
        <f t="shared" si="25"/>
        <v>0.308</v>
      </c>
      <c r="BA16" s="29">
        <f t="shared" si="26"/>
        <v>0.652</v>
      </c>
      <c r="BB16" s="29">
        <f t="shared" si="27"/>
        <v>0.423</v>
      </c>
      <c r="BC16" s="29">
        <f t="shared" si="28"/>
        <v>0.295</v>
      </c>
      <c r="BD16" s="29">
        <f t="shared" si="29"/>
        <v>0.551</v>
      </c>
      <c r="BE16" s="29">
        <f t="shared" si="30"/>
        <v>0.436</v>
      </c>
      <c r="BF16" s="29">
        <f t="shared" si="31"/>
        <v>1</v>
      </c>
      <c r="BG16" s="29">
        <f t="shared" si="32"/>
        <v>0.282</v>
      </c>
      <c r="BH16" s="29">
        <f t="shared" si="33"/>
        <v>0.46345</v>
      </c>
      <c r="BI16" s="29">
        <f t="shared" si="34"/>
        <v>0.654</v>
      </c>
      <c r="BJ16" s="29">
        <f t="shared" si="35"/>
        <v>0.577</v>
      </c>
      <c r="BK16" s="29">
        <f t="shared" si="36"/>
        <v>0.192</v>
      </c>
      <c r="BL16" s="29">
        <f t="shared" si="37"/>
        <v>0.6145625</v>
      </c>
      <c r="BM16" s="29">
        <f t="shared" si="38"/>
        <v>0.667</v>
      </c>
      <c r="BN16" s="30">
        <f t="shared" si="39"/>
        <v>1</v>
      </c>
      <c r="BO16" s="29">
        <f t="shared" si="40"/>
        <v>0.8335</v>
      </c>
      <c r="BP16" s="29">
        <f t="shared" si="41"/>
        <v>0.423</v>
      </c>
      <c r="BQ16" s="29">
        <f t="shared" si="42"/>
        <v>0.3604</v>
      </c>
      <c r="BR16" s="31" t="str">
        <f t="shared" si="43"/>
        <v>High</v>
      </c>
      <c r="BS16" s="29">
        <f t="shared" si="44"/>
        <v>0.558328125</v>
      </c>
      <c r="BT16" s="31" t="str">
        <f t="shared" si="45"/>
        <v>Y</v>
      </c>
      <c r="BU16" s="31" t="str">
        <f t="shared" si="46"/>
        <v>Y</v>
      </c>
      <c r="BV16" s="31" t="str">
        <f t="shared" si="47"/>
        <v>Y</v>
      </c>
      <c r="BW16" s="31" t="str">
        <f t="shared" si="48"/>
        <v>Y</v>
      </c>
      <c r="BX16" s="31" t="str">
        <f t="shared" si="49"/>
        <v>Y</v>
      </c>
      <c r="BY16" s="30">
        <f t="shared" si="50"/>
        <v>11</v>
      </c>
      <c r="BZ16" s="32">
        <f t="shared" si="51"/>
        <v>0.04</v>
      </c>
      <c r="CA16" s="9">
        <f t="shared" ref="CA16:CG16" si="135">IF(ISNUMBER(F16),F16,IFERROR(VALUE(SUBSTITUTE(SUBSTITUTE(SUBSTITUTE(SUBSTITUTE(F16,"(","-"),")",""),",","")," ","")),"" ))</f>
        <v>891.95</v>
      </c>
      <c r="CB16" s="9">
        <f t="shared" si="135"/>
        <v>2765.4</v>
      </c>
      <c r="CC16" s="9">
        <f t="shared" si="135"/>
        <v>24.27</v>
      </c>
      <c r="CD16" s="9">
        <f t="shared" si="135"/>
        <v>24.27</v>
      </c>
      <c r="CE16" s="9">
        <f t="shared" si="135"/>
        <v>3.41</v>
      </c>
      <c r="CF16" s="9">
        <f t="shared" si="135"/>
        <v>2.28</v>
      </c>
      <c r="CG16" s="9">
        <f t="shared" si="135"/>
        <v>12.08</v>
      </c>
      <c r="CH16" s="9">
        <f t="shared" si="53"/>
        <v>23.84</v>
      </c>
      <c r="CI16" s="9">
        <f t="shared" ref="CI16:CK16" si="136">IF(ISNUMBER(M16),M16,IFERROR(VALUE(SUBSTITUTE(SUBSTITUTE(SUBSTITUTE(SUBSTITUTE(SUBSTITUTE(M16,"(","-"),")",""),"%",""),",","")," ","")),"" ))</f>
        <v>28.38</v>
      </c>
      <c r="CJ16" s="9">
        <f t="shared" si="136"/>
        <v>27.37</v>
      </c>
      <c r="CK16" s="9">
        <f t="shared" si="136"/>
        <v>14.33</v>
      </c>
      <c r="CL16" s="9">
        <f t="shared" si="55"/>
        <v>4</v>
      </c>
      <c r="CM16" s="9">
        <f t="shared" si="56"/>
        <v>6.61</v>
      </c>
      <c r="CN16" s="9">
        <f t="shared" ref="CN16:CO16" si="137">IF(ISNUMBER(R16),R16,IFERROR(VALUE(SUBSTITUTE(SUBSTITUTE(SUBSTITUTE(SUBSTITUTE(R16,"(","-"),")",""),",","")," ","")),"" ))</f>
        <v>8</v>
      </c>
      <c r="CO16" s="9">
        <f t="shared" si="137"/>
        <v>0.34</v>
      </c>
      <c r="CP16" s="9">
        <f t="shared" ref="CP16:CR16" si="138">IF(ISNUMBER(AC16),AC16,IFERROR(VALUE(SUBSTITUTE(SUBSTITUTE(SUBSTITUTE(SUBSTITUTE(AC16,"(","-"),")",""),",","")," ","")),"" ))</f>
        <v>5.52</v>
      </c>
      <c r="CQ16" s="9">
        <f t="shared" si="138"/>
        <v>1.59</v>
      </c>
      <c r="CR16" s="9">
        <f t="shared" si="138"/>
        <v>5.51</v>
      </c>
      <c r="CS16" s="9">
        <f t="shared" ref="CS16:CT16" si="139">IF(ISNUMBER(AF16),AF16,IFERROR(VALUE(SUBSTITUTE(SUBSTITUTE(SUBSTITUTE(SUBSTITUTE(SUBSTITUTE(AF16,"(","-"),")",""),"%",""),",","")," ","")),"" ))</f>
        <v>56.66</v>
      </c>
      <c r="CT16" s="9">
        <f t="shared" si="139"/>
        <v>0</v>
      </c>
      <c r="CU16" s="9">
        <f t="shared" si="60"/>
        <v>203750</v>
      </c>
      <c r="CV16" s="9">
        <f t="shared" si="61"/>
        <v>14.74</v>
      </c>
      <c r="CW16" s="9">
        <f t="shared" ref="CW16:DA16" si="140">IF(ISNUMBER(W16),W16,IFERROR(VALUE(SUBSTITUTE(SUBSTITUTE(SUBSTITUTE(SUBSTITUTE(W16,"(","-"),")",""),",","")," ","")),"" ))</f>
        <v>910.38</v>
      </c>
      <c r="CX16" s="9">
        <f t="shared" si="140"/>
        <v>907.92</v>
      </c>
      <c r="CY16" s="9">
        <f t="shared" si="140"/>
        <v>672.72</v>
      </c>
      <c r="CZ16" s="9">
        <f t="shared" si="140"/>
        <v>202.9</v>
      </c>
      <c r="DA16" s="9">
        <f t="shared" si="140"/>
        <v>347.96</v>
      </c>
    </row>
    <row r="17" ht="15.75" customHeight="1">
      <c r="A17" s="33">
        <v>16.0</v>
      </c>
      <c r="B17" s="34" t="s">
        <v>104</v>
      </c>
      <c r="C17" s="12" t="s">
        <v>46</v>
      </c>
      <c r="D17" s="13" t="s">
        <v>105</v>
      </c>
      <c r="E17" s="35" t="s">
        <v>106</v>
      </c>
      <c r="F17" s="36">
        <v>2175.5</v>
      </c>
      <c r="G17" s="36">
        <v>5725.84</v>
      </c>
      <c r="H17" s="36">
        <v>23.8</v>
      </c>
      <c r="I17" s="36">
        <v>27.29</v>
      </c>
      <c r="J17" s="36">
        <v>5.3</v>
      </c>
      <c r="K17" s="36">
        <v>3.26</v>
      </c>
      <c r="L17" s="36">
        <v>14.03</v>
      </c>
      <c r="M17" s="36">
        <v>27.8</v>
      </c>
      <c r="N17" s="36">
        <v>20.99</v>
      </c>
      <c r="O17" s="36">
        <v>15.29</v>
      </c>
      <c r="P17" s="36">
        <v>7.0</v>
      </c>
      <c r="Q17" s="36">
        <v>5.83</v>
      </c>
      <c r="R17" s="36">
        <v>9.0</v>
      </c>
      <c r="S17" s="36">
        <v>0.06</v>
      </c>
      <c r="T17" s="36">
        <v>68839.0</v>
      </c>
      <c r="U17" s="36">
        <v>91934.0</v>
      </c>
      <c r="V17" s="36">
        <v>0.0</v>
      </c>
      <c r="W17" s="36">
        <v>2247.04</v>
      </c>
      <c r="X17" s="36">
        <v>2056.71</v>
      </c>
      <c r="Y17" s="36">
        <v>727.02</v>
      </c>
      <c r="Z17" s="36">
        <v>447.67</v>
      </c>
      <c r="AA17" s="36">
        <v>258.56</v>
      </c>
      <c r="AB17" s="36">
        <v>66.39</v>
      </c>
      <c r="AC17" s="36">
        <v>214.57</v>
      </c>
      <c r="AD17" s="36">
        <v>1.75</v>
      </c>
      <c r="AE17" s="36">
        <v>9.63</v>
      </c>
      <c r="AF17" s="36">
        <v>54.52</v>
      </c>
      <c r="AG17" s="36">
        <v>0.0</v>
      </c>
      <c r="AH17" s="38">
        <f t="shared" si="7"/>
        <v>0.8721143276</v>
      </c>
      <c r="AI17" s="38">
        <f t="shared" si="8"/>
        <v>1.625766871</v>
      </c>
      <c r="AJ17" s="38">
        <f t="shared" si="9"/>
        <v>1.057757292</v>
      </c>
      <c r="AK17" s="38">
        <f t="shared" si="10"/>
        <v>0.1269717631</v>
      </c>
      <c r="AL17" s="38">
        <f t="shared" si="11"/>
        <v>0.07818416163</v>
      </c>
      <c r="AM17" s="38">
        <f t="shared" si="12"/>
        <v>0.04515669317</v>
      </c>
      <c r="AN17" s="38">
        <f t="shared" si="13"/>
        <v>0.41</v>
      </c>
      <c r="AO17" s="38">
        <f t="shared" si="14"/>
        <v>0.192</v>
      </c>
      <c r="AP17" s="38">
        <f t="shared" si="15"/>
        <v>0.295</v>
      </c>
      <c r="AQ17" s="38">
        <f t="shared" si="16"/>
        <v>0.372</v>
      </c>
      <c r="AR17" s="38">
        <f t="shared" si="17"/>
        <v>0.244</v>
      </c>
      <c r="AS17" s="38">
        <f t="shared" si="18"/>
        <v>0.513</v>
      </c>
      <c r="AT17" s="38">
        <f t="shared" si="19"/>
        <v>0.321</v>
      </c>
      <c r="AU17" s="38">
        <f t="shared" si="20"/>
        <v>0.32475</v>
      </c>
      <c r="AV17" s="38">
        <f t="shared" si="21"/>
        <v>0.808</v>
      </c>
      <c r="AW17" s="38">
        <f t="shared" si="22"/>
        <v>0.705</v>
      </c>
      <c r="AX17" s="38">
        <f t="shared" si="23"/>
        <v>0.808</v>
      </c>
      <c r="AY17" s="38">
        <f t="shared" si="24"/>
        <v>0.897</v>
      </c>
      <c r="AZ17" s="38">
        <f t="shared" si="25"/>
        <v>0.897</v>
      </c>
      <c r="BA17" s="38">
        <f t="shared" si="26"/>
        <v>0.82745</v>
      </c>
      <c r="BB17" s="38">
        <f t="shared" si="27"/>
        <v>0.654</v>
      </c>
      <c r="BC17" s="38">
        <f t="shared" si="28"/>
        <v>0.936</v>
      </c>
      <c r="BD17" s="38">
        <f t="shared" si="29"/>
        <v>0.628</v>
      </c>
      <c r="BE17" s="38">
        <f t="shared" si="30"/>
        <v>0.962</v>
      </c>
      <c r="BF17" s="38">
        <f t="shared" si="31"/>
        <v>1</v>
      </c>
      <c r="BG17" s="38">
        <f t="shared" si="32"/>
        <v>0.231</v>
      </c>
      <c r="BH17" s="38">
        <f t="shared" si="33"/>
        <v>0.763</v>
      </c>
      <c r="BI17" s="38">
        <f t="shared" si="34"/>
        <v>0.487</v>
      </c>
      <c r="BJ17" s="38">
        <f t="shared" si="35"/>
        <v>0.679</v>
      </c>
      <c r="BK17" s="38">
        <f t="shared" si="36"/>
        <v>0.5</v>
      </c>
      <c r="BL17" s="38">
        <f t="shared" si="37"/>
        <v>0.6716</v>
      </c>
      <c r="BM17" s="38">
        <f t="shared" si="38"/>
        <v>0.256</v>
      </c>
      <c r="BN17" s="39">
        <f t="shared" si="39"/>
        <v>1</v>
      </c>
      <c r="BO17" s="38">
        <f t="shared" si="40"/>
        <v>0.628</v>
      </c>
      <c r="BP17" s="38">
        <f t="shared" si="41"/>
        <v>0.269</v>
      </c>
      <c r="BQ17" s="38">
        <f t="shared" si="42"/>
        <v>0.21</v>
      </c>
      <c r="BR17" s="40" t="str">
        <f t="shared" si="43"/>
        <v>High</v>
      </c>
      <c r="BS17" s="38">
        <f t="shared" si="44"/>
        <v>0.52428</v>
      </c>
      <c r="BT17" s="40" t="str">
        <f t="shared" si="45"/>
        <v>Y</v>
      </c>
      <c r="BU17" s="40" t="str">
        <f t="shared" si="46"/>
        <v>Y</v>
      </c>
      <c r="BV17" s="40" t="str">
        <f t="shared" si="47"/>
        <v>Y</v>
      </c>
      <c r="BW17" s="40" t="str">
        <f t="shared" si="48"/>
        <v>Y</v>
      </c>
      <c r="BX17" s="40" t="str">
        <f t="shared" si="49"/>
        <v>Y</v>
      </c>
      <c r="BY17" s="39">
        <f t="shared" si="50"/>
        <v>18</v>
      </c>
      <c r="BZ17" s="41">
        <f t="shared" si="51"/>
        <v>0.04</v>
      </c>
      <c r="CA17" s="12">
        <f t="shared" ref="CA17:CG17" si="141">IF(ISNUMBER(F17),F17,IFERROR(VALUE(SUBSTITUTE(SUBSTITUTE(SUBSTITUTE(SUBSTITUTE(F17,"(","-"),")",""),",","")," ","")),"" ))</f>
        <v>2175.5</v>
      </c>
      <c r="CB17" s="12">
        <f t="shared" si="141"/>
        <v>5725.84</v>
      </c>
      <c r="CC17" s="12">
        <f t="shared" si="141"/>
        <v>23.8</v>
      </c>
      <c r="CD17" s="12">
        <f t="shared" si="141"/>
        <v>27.29</v>
      </c>
      <c r="CE17" s="12">
        <f t="shared" si="141"/>
        <v>5.3</v>
      </c>
      <c r="CF17" s="12">
        <f t="shared" si="141"/>
        <v>3.26</v>
      </c>
      <c r="CG17" s="12">
        <f t="shared" si="141"/>
        <v>14.03</v>
      </c>
      <c r="CH17" s="12">
        <f t="shared" si="53"/>
        <v>66.39</v>
      </c>
      <c r="CI17" s="12">
        <f t="shared" ref="CI17:CK17" si="142">IF(ISNUMBER(M17),M17,IFERROR(VALUE(SUBSTITUTE(SUBSTITUTE(SUBSTITUTE(SUBSTITUTE(SUBSTITUTE(M17,"(","-"),")",""),"%",""),",","")," ","")),"" ))</f>
        <v>27.8</v>
      </c>
      <c r="CJ17" s="12">
        <f t="shared" si="142"/>
        <v>20.99</v>
      </c>
      <c r="CK17" s="12">
        <f t="shared" si="142"/>
        <v>15.29</v>
      </c>
      <c r="CL17" s="12">
        <f t="shared" si="55"/>
        <v>7</v>
      </c>
      <c r="CM17" s="12">
        <f t="shared" si="56"/>
        <v>5.83</v>
      </c>
      <c r="CN17" s="12">
        <f t="shared" ref="CN17:CO17" si="143">IF(ISNUMBER(R17),R17,IFERROR(VALUE(SUBSTITUTE(SUBSTITUTE(SUBSTITUTE(SUBSTITUTE(R17,"(","-"),")",""),",","")," ","")),"" ))</f>
        <v>9</v>
      </c>
      <c r="CO17" s="12">
        <f t="shared" si="143"/>
        <v>0.06</v>
      </c>
      <c r="CP17" s="12">
        <f t="shared" ref="CP17:CR17" si="144">IF(ISNUMBER(AC17),AC17,IFERROR(VALUE(SUBSTITUTE(SUBSTITUTE(SUBSTITUTE(SUBSTITUTE(AC17,"(","-"),")",""),",","")," ","")),"" ))</f>
        <v>214.57</v>
      </c>
      <c r="CQ17" s="12">
        <f t="shared" si="144"/>
        <v>1.75</v>
      </c>
      <c r="CR17" s="12">
        <f t="shared" si="144"/>
        <v>9.63</v>
      </c>
      <c r="CS17" s="12">
        <f t="shared" ref="CS17:CT17" si="145">IF(ISNUMBER(AF17),AF17,IFERROR(VALUE(SUBSTITUTE(SUBSTITUTE(SUBSTITUTE(SUBSTITUTE(SUBSTITUTE(AF17,"(","-"),")",""),"%",""),",","")," ","")),"" ))</f>
        <v>54.52</v>
      </c>
      <c r="CT17" s="12">
        <f t="shared" si="145"/>
        <v>0</v>
      </c>
      <c r="CU17" s="12">
        <f t="shared" si="60"/>
        <v>91934</v>
      </c>
      <c r="CV17" s="12">
        <f t="shared" si="61"/>
        <v>0</v>
      </c>
      <c r="CW17" s="12">
        <f t="shared" ref="CW17:DA17" si="146">IF(ISNUMBER(W17),W17,IFERROR(VALUE(SUBSTITUTE(SUBSTITUTE(SUBSTITUTE(SUBSTITUTE(W17,"(","-"),")",""),",","")," ","")),"" ))</f>
        <v>2247.04</v>
      </c>
      <c r="CX17" s="12">
        <f t="shared" si="146"/>
        <v>2056.71</v>
      </c>
      <c r="CY17" s="12">
        <f t="shared" si="146"/>
        <v>727.02</v>
      </c>
      <c r="CZ17" s="12">
        <f t="shared" si="146"/>
        <v>447.67</v>
      </c>
      <c r="DA17" s="12">
        <f t="shared" si="146"/>
        <v>258.56</v>
      </c>
    </row>
    <row r="18" ht="15.75" customHeight="1">
      <c r="A18" s="25">
        <v>17.0</v>
      </c>
      <c r="B18" s="26" t="s">
        <v>318</v>
      </c>
      <c r="C18" s="9" t="s">
        <v>67</v>
      </c>
      <c r="D18" s="10" t="s">
        <v>319</v>
      </c>
      <c r="E18" s="27" t="s">
        <v>320</v>
      </c>
      <c r="F18" s="28">
        <v>847.7</v>
      </c>
      <c r="G18" s="28">
        <v>1030.13</v>
      </c>
      <c r="H18" s="28">
        <v>14.34</v>
      </c>
      <c r="I18" s="28">
        <v>19.33</v>
      </c>
      <c r="J18" s="28">
        <v>3.59</v>
      </c>
      <c r="K18" s="28">
        <v>1.89</v>
      </c>
      <c r="L18" s="28">
        <v>10.31</v>
      </c>
      <c r="M18" s="28">
        <v>27.53</v>
      </c>
      <c r="N18" s="28">
        <v>21.03</v>
      </c>
      <c r="O18" s="28">
        <v>19.43</v>
      </c>
      <c r="P18" s="28">
        <v>7.0</v>
      </c>
      <c r="Q18" s="28">
        <v>9.37</v>
      </c>
      <c r="R18" s="28">
        <v>7.0</v>
      </c>
      <c r="S18" s="28">
        <v>0.0</v>
      </c>
      <c r="T18" s="28">
        <v>8434.0</v>
      </c>
      <c r="U18" s="28">
        <v>19019.0</v>
      </c>
      <c r="V18" s="28">
        <v>-11.51</v>
      </c>
      <c r="W18" s="28">
        <v>807.64</v>
      </c>
      <c r="X18" s="28">
        <v>790.14</v>
      </c>
      <c r="Y18" s="28">
        <v>192.85</v>
      </c>
      <c r="Z18" s="28">
        <v>182.15</v>
      </c>
      <c r="AA18" s="28">
        <v>113.07</v>
      </c>
      <c r="AB18" s="28">
        <v>27.44</v>
      </c>
      <c r="AC18" s="28">
        <v>418.48</v>
      </c>
      <c r="AD18" s="28">
        <v>2.75</v>
      </c>
      <c r="AE18" s="28">
        <v>8.47</v>
      </c>
      <c r="AF18" s="28">
        <v>73.53</v>
      </c>
      <c r="AG18" s="28">
        <v>0.0</v>
      </c>
      <c r="AH18" s="29">
        <f t="shared" si="7"/>
        <v>0.7418520435</v>
      </c>
      <c r="AI18" s="29">
        <f t="shared" si="8"/>
        <v>1.899470899</v>
      </c>
      <c r="AJ18" s="29">
        <f t="shared" si="9"/>
        <v>1.07284785</v>
      </c>
      <c r="AK18" s="29">
        <f t="shared" si="10"/>
        <v>0.1872093813</v>
      </c>
      <c r="AL18" s="29">
        <f t="shared" si="11"/>
        <v>0.1768223428</v>
      </c>
      <c r="AM18" s="29">
        <f t="shared" si="12"/>
        <v>0.1097628455</v>
      </c>
      <c r="AN18" s="29">
        <f t="shared" si="13"/>
        <v>0.821</v>
      </c>
      <c r="AO18" s="29">
        <f t="shared" si="14"/>
        <v>0.487</v>
      </c>
      <c r="AP18" s="29">
        <f t="shared" si="15"/>
        <v>0.679</v>
      </c>
      <c r="AQ18" s="29">
        <f t="shared" si="16"/>
        <v>0.833</v>
      </c>
      <c r="AR18" s="29">
        <f t="shared" si="17"/>
        <v>0.5</v>
      </c>
      <c r="AS18" s="29">
        <f t="shared" si="18"/>
        <v>0.654</v>
      </c>
      <c r="AT18" s="29">
        <f t="shared" si="19"/>
        <v>0.154</v>
      </c>
      <c r="AU18" s="29">
        <f t="shared" si="20"/>
        <v>0.6336</v>
      </c>
      <c r="AV18" s="29">
        <f t="shared" si="21"/>
        <v>0.795</v>
      </c>
      <c r="AW18" s="29">
        <f t="shared" si="22"/>
        <v>0.718</v>
      </c>
      <c r="AX18" s="29">
        <f t="shared" si="23"/>
        <v>0.91</v>
      </c>
      <c r="AY18" s="29">
        <f t="shared" si="24"/>
        <v>0.256</v>
      </c>
      <c r="AZ18" s="29">
        <f t="shared" si="25"/>
        <v>0.897</v>
      </c>
      <c r="BA18" s="29">
        <f t="shared" si="26"/>
        <v>0.67675</v>
      </c>
      <c r="BB18" s="29">
        <f t="shared" si="27"/>
        <v>1</v>
      </c>
      <c r="BC18" s="29">
        <f t="shared" si="28"/>
        <v>0.974</v>
      </c>
      <c r="BD18" s="29">
        <f t="shared" si="29"/>
        <v>0.808</v>
      </c>
      <c r="BE18" s="29">
        <f t="shared" si="30"/>
        <v>0.897</v>
      </c>
      <c r="BF18" s="29">
        <f t="shared" si="31"/>
        <v>1</v>
      </c>
      <c r="BG18" s="29">
        <f t="shared" si="32"/>
        <v>0.808</v>
      </c>
      <c r="BH18" s="29">
        <f t="shared" si="33"/>
        <v>0.93195</v>
      </c>
      <c r="BI18" s="29">
        <f t="shared" si="34"/>
        <v>0.346</v>
      </c>
      <c r="BJ18" s="29">
        <f t="shared" si="35"/>
        <v>0.846</v>
      </c>
      <c r="BK18" s="29">
        <f t="shared" si="36"/>
        <v>0.615</v>
      </c>
      <c r="BL18" s="29">
        <f t="shared" si="37"/>
        <v>0.9157875</v>
      </c>
      <c r="BM18" s="29">
        <f t="shared" si="38"/>
        <v>0.026</v>
      </c>
      <c r="BN18" s="30">
        <f t="shared" si="39"/>
        <v>1</v>
      </c>
      <c r="BO18" s="29">
        <f t="shared" si="40"/>
        <v>0.513</v>
      </c>
      <c r="BP18" s="29">
        <f t="shared" si="41"/>
        <v>0.09</v>
      </c>
      <c r="BQ18" s="29">
        <f t="shared" si="42"/>
        <v>0.2067</v>
      </c>
      <c r="BR18" s="31" t="str">
        <f t="shared" si="43"/>
        <v>High</v>
      </c>
      <c r="BS18" s="29">
        <f t="shared" si="44"/>
        <v>0.637289375</v>
      </c>
      <c r="BT18" s="31" t="str">
        <f t="shared" si="45"/>
        <v>N</v>
      </c>
      <c r="BU18" s="31" t="str">
        <f t="shared" si="46"/>
        <v>Y</v>
      </c>
      <c r="BV18" s="31" t="str">
        <f t="shared" si="47"/>
        <v>Y</v>
      </c>
      <c r="BW18" s="31" t="str">
        <f t="shared" si="48"/>
        <v>Y</v>
      </c>
      <c r="BX18" s="31" t="str">
        <f t="shared" si="49"/>
        <v>N</v>
      </c>
      <c r="BY18" s="30" t="str">
        <f t="shared" si="50"/>
        <v/>
      </c>
      <c r="BZ18" s="32" t="str">
        <f t="shared" si="51"/>
        <v/>
      </c>
      <c r="CA18" s="9">
        <f t="shared" ref="CA18:CG18" si="147">IF(ISNUMBER(F18),F18,IFERROR(VALUE(SUBSTITUTE(SUBSTITUTE(SUBSTITUTE(SUBSTITUTE(F18,"(","-"),")",""),",","")," ","")),"" ))</f>
        <v>847.7</v>
      </c>
      <c r="CB18" s="9">
        <f t="shared" si="147"/>
        <v>1030.13</v>
      </c>
      <c r="CC18" s="9">
        <f t="shared" si="147"/>
        <v>14.34</v>
      </c>
      <c r="CD18" s="9">
        <f t="shared" si="147"/>
        <v>19.33</v>
      </c>
      <c r="CE18" s="9">
        <f t="shared" si="147"/>
        <v>3.59</v>
      </c>
      <c r="CF18" s="9">
        <f t="shared" si="147"/>
        <v>1.89</v>
      </c>
      <c r="CG18" s="9">
        <f t="shared" si="147"/>
        <v>10.31</v>
      </c>
      <c r="CH18" s="9">
        <f t="shared" si="53"/>
        <v>27.44</v>
      </c>
      <c r="CI18" s="9">
        <f t="shared" ref="CI18:CK18" si="148">IF(ISNUMBER(M18),M18,IFERROR(VALUE(SUBSTITUTE(SUBSTITUTE(SUBSTITUTE(SUBSTITUTE(SUBSTITUTE(M18,"(","-"),")",""),"%",""),",","")," ","")),"" ))</f>
        <v>27.53</v>
      </c>
      <c r="CJ18" s="9">
        <f t="shared" si="148"/>
        <v>21.03</v>
      </c>
      <c r="CK18" s="9">
        <f t="shared" si="148"/>
        <v>19.43</v>
      </c>
      <c r="CL18" s="9">
        <f t="shared" si="55"/>
        <v>7</v>
      </c>
      <c r="CM18" s="9">
        <f t="shared" si="56"/>
        <v>9.37</v>
      </c>
      <c r="CN18" s="9">
        <f t="shared" ref="CN18:CO18" si="149">IF(ISNUMBER(R18),R18,IFERROR(VALUE(SUBSTITUTE(SUBSTITUTE(SUBSTITUTE(SUBSTITUTE(R18,"(","-"),")",""),",","")," ","")),"" ))</f>
        <v>7</v>
      </c>
      <c r="CO18" s="9">
        <f t="shared" si="149"/>
        <v>0</v>
      </c>
      <c r="CP18" s="9">
        <f t="shared" ref="CP18:CR18" si="150">IF(ISNUMBER(AC18),AC18,IFERROR(VALUE(SUBSTITUTE(SUBSTITUTE(SUBSTITUTE(SUBSTITUTE(AC18,"(","-"),")",""),",","")," ","")),"" ))</f>
        <v>418.48</v>
      </c>
      <c r="CQ18" s="9">
        <f t="shared" si="150"/>
        <v>2.75</v>
      </c>
      <c r="CR18" s="9">
        <f t="shared" si="150"/>
        <v>8.47</v>
      </c>
      <c r="CS18" s="9">
        <f t="shared" ref="CS18:CT18" si="151">IF(ISNUMBER(AF18),AF18,IFERROR(VALUE(SUBSTITUTE(SUBSTITUTE(SUBSTITUTE(SUBSTITUTE(SUBSTITUTE(AF18,"(","-"),")",""),"%",""),",","")," ","")),"" ))</f>
        <v>73.53</v>
      </c>
      <c r="CT18" s="9">
        <f t="shared" si="151"/>
        <v>0</v>
      </c>
      <c r="CU18" s="9">
        <f t="shared" si="60"/>
        <v>19019</v>
      </c>
      <c r="CV18" s="9">
        <f t="shared" si="61"/>
        <v>-11.51</v>
      </c>
      <c r="CW18" s="9">
        <f t="shared" ref="CW18:DA18" si="152">IF(ISNUMBER(W18),W18,IFERROR(VALUE(SUBSTITUTE(SUBSTITUTE(SUBSTITUTE(SUBSTITUTE(W18,"(","-"),")",""),",","")," ","")),"" ))</f>
        <v>807.64</v>
      </c>
      <c r="CX18" s="9">
        <f t="shared" si="152"/>
        <v>790.14</v>
      </c>
      <c r="CY18" s="9">
        <f t="shared" si="152"/>
        <v>192.85</v>
      </c>
      <c r="CZ18" s="9">
        <f t="shared" si="152"/>
        <v>182.15</v>
      </c>
      <c r="DA18" s="9">
        <f t="shared" si="152"/>
        <v>113.07</v>
      </c>
    </row>
    <row r="19" ht="15.75" customHeight="1">
      <c r="A19" s="33">
        <v>18.0</v>
      </c>
      <c r="B19" s="34" t="s">
        <v>321</v>
      </c>
      <c r="C19" s="12" t="s">
        <v>63</v>
      </c>
      <c r="D19" s="13" t="s">
        <v>322</v>
      </c>
      <c r="E19" s="35" t="s">
        <v>323</v>
      </c>
      <c r="F19" s="36">
        <v>1451.5</v>
      </c>
      <c r="G19" s="36">
        <v>1978.39</v>
      </c>
      <c r="H19" s="36">
        <v>18.1</v>
      </c>
      <c r="I19" s="36">
        <v>18.57</v>
      </c>
      <c r="J19" s="36">
        <v>3.1</v>
      </c>
      <c r="K19" s="36">
        <v>3.27</v>
      </c>
      <c r="L19" s="36">
        <v>11.25</v>
      </c>
      <c r="M19" s="36">
        <v>26.87</v>
      </c>
      <c r="N19" s="36">
        <v>20.73</v>
      </c>
      <c r="O19" s="36">
        <v>16.51</v>
      </c>
      <c r="P19" s="36">
        <v>5.0</v>
      </c>
      <c r="Q19" s="36">
        <v>7.68</v>
      </c>
      <c r="R19" s="36">
        <v>8.0</v>
      </c>
      <c r="S19" s="36">
        <v>0.05</v>
      </c>
      <c r="T19" s="36">
        <v>17574.0</v>
      </c>
      <c r="U19" s="36">
        <v>26042.0</v>
      </c>
      <c r="V19" s="36">
        <v>0.88</v>
      </c>
      <c r="W19" s="36">
        <v>1423.92</v>
      </c>
      <c r="X19" s="36">
        <v>1476.09</v>
      </c>
      <c r="Y19" s="36">
        <v>470.22</v>
      </c>
      <c r="Z19" s="36">
        <v>308.81</v>
      </c>
      <c r="AA19" s="36">
        <v>288.38</v>
      </c>
      <c r="AB19" s="36">
        <v>20.54</v>
      </c>
      <c r="AC19" s="36">
        <v>49.22</v>
      </c>
      <c r="AD19" s="36">
        <v>5.39</v>
      </c>
      <c r="AE19" s="36">
        <v>7.29</v>
      </c>
      <c r="AF19" s="36">
        <v>62.06</v>
      </c>
      <c r="AG19" s="36">
        <v>0.0</v>
      </c>
      <c r="AH19" s="38">
        <f t="shared" si="7"/>
        <v>0.9746903608</v>
      </c>
      <c r="AI19" s="38">
        <f t="shared" si="8"/>
        <v>0.9480122324</v>
      </c>
      <c r="AJ19" s="38">
        <f t="shared" si="9"/>
        <v>0.9833411242</v>
      </c>
      <c r="AK19" s="38">
        <f t="shared" si="10"/>
        <v>0.237678112</v>
      </c>
      <c r="AL19" s="38">
        <f t="shared" si="11"/>
        <v>0.1560915694</v>
      </c>
      <c r="AM19" s="38">
        <f t="shared" si="12"/>
        <v>0.1457649907</v>
      </c>
      <c r="AN19" s="38">
        <f t="shared" si="13"/>
        <v>0.679</v>
      </c>
      <c r="AO19" s="38">
        <f t="shared" si="14"/>
        <v>0.615</v>
      </c>
      <c r="AP19" s="38">
        <f t="shared" si="15"/>
        <v>0.628</v>
      </c>
      <c r="AQ19" s="38">
        <f t="shared" si="16"/>
        <v>0.718</v>
      </c>
      <c r="AR19" s="38">
        <f t="shared" si="17"/>
        <v>0.679</v>
      </c>
      <c r="AS19" s="38">
        <f t="shared" si="18"/>
        <v>0.385</v>
      </c>
      <c r="AT19" s="38">
        <f t="shared" si="19"/>
        <v>0.731</v>
      </c>
      <c r="AU19" s="38">
        <f t="shared" si="20"/>
        <v>0.6469</v>
      </c>
      <c r="AV19" s="38">
        <f t="shared" si="21"/>
        <v>0.782</v>
      </c>
      <c r="AW19" s="38">
        <f t="shared" si="22"/>
        <v>0.679</v>
      </c>
      <c r="AX19" s="38">
        <f t="shared" si="23"/>
        <v>0.872</v>
      </c>
      <c r="AY19" s="38">
        <f t="shared" si="24"/>
        <v>0.551</v>
      </c>
      <c r="AZ19" s="38">
        <f t="shared" si="25"/>
        <v>0.577</v>
      </c>
      <c r="BA19" s="38">
        <f t="shared" si="26"/>
        <v>0.67165</v>
      </c>
      <c r="BB19" s="38">
        <f t="shared" si="27"/>
        <v>0.692</v>
      </c>
      <c r="BC19" s="38">
        <f t="shared" si="28"/>
        <v>0.744</v>
      </c>
      <c r="BD19" s="38">
        <f t="shared" si="29"/>
        <v>0.936</v>
      </c>
      <c r="BE19" s="38">
        <f t="shared" si="30"/>
        <v>0.718</v>
      </c>
      <c r="BF19" s="38">
        <f t="shared" si="31"/>
        <v>1</v>
      </c>
      <c r="BG19" s="38">
        <f t="shared" si="32"/>
        <v>0.436</v>
      </c>
      <c r="BH19" s="38">
        <f t="shared" si="33"/>
        <v>0.7359</v>
      </c>
      <c r="BI19" s="38">
        <f t="shared" si="34"/>
        <v>0.615</v>
      </c>
      <c r="BJ19" s="38">
        <f t="shared" si="35"/>
        <v>0.269</v>
      </c>
      <c r="BK19" s="38">
        <f t="shared" si="36"/>
        <v>0.205</v>
      </c>
      <c r="BL19" s="38">
        <f t="shared" si="37"/>
        <v>0.736575</v>
      </c>
      <c r="BM19" s="38">
        <f t="shared" si="38"/>
        <v>0.321</v>
      </c>
      <c r="BN19" s="39">
        <f t="shared" si="39"/>
        <v>1</v>
      </c>
      <c r="BO19" s="38">
        <f t="shared" si="40"/>
        <v>0.6605</v>
      </c>
      <c r="BP19" s="38">
        <f t="shared" si="41"/>
        <v>0.128</v>
      </c>
      <c r="BQ19" s="38">
        <f t="shared" si="42"/>
        <v>0.2256</v>
      </c>
      <c r="BR19" s="40" t="str">
        <f t="shared" si="43"/>
        <v>High</v>
      </c>
      <c r="BS19" s="38">
        <f t="shared" si="44"/>
        <v>0.68152875</v>
      </c>
      <c r="BT19" s="40" t="str">
        <f t="shared" si="45"/>
        <v>N</v>
      </c>
      <c r="BU19" s="40" t="str">
        <f t="shared" si="46"/>
        <v>Y</v>
      </c>
      <c r="BV19" s="40" t="str">
        <f t="shared" si="47"/>
        <v>Y</v>
      </c>
      <c r="BW19" s="40" t="str">
        <f t="shared" si="48"/>
        <v>Y</v>
      </c>
      <c r="BX19" s="40" t="str">
        <f t="shared" si="49"/>
        <v>N</v>
      </c>
      <c r="BY19" s="39" t="str">
        <f t="shared" si="50"/>
        <v/>
      </c>
      <c r="BZ19" s="41" t="str">
        <f t="shared" si="51"/>
        <v/>
      </c>
      <c r="CA19" s="12">
        <f t="shared" ref="CA19:CG19" si="153">IF(ISNUMBER(F19),F19,IFERROR(VALUE(SUBSTITUTE(SUBSTITUTE(SUBSTITUTE(SUBSTITUTE(F19,"(","-"),")",""),",","")," ","")),"" ))</f>
        <v>1451.5</v>
      </c>
      <c r="CB19" s="12">
        <f t="shared" si="153"/>
        <v>1978.39</v>
      </c>
      <c r="CC19" s="12">
        <f t="shared" si="153"/>
        <v>18.1</v>
      </c>
      <c r="CD19" s="12">
        <f t="shared" si="153"/>
        <v>18.57</v>
      </c>
      <c r="CE19" s="12">
        <f t="shared" si="153"/>
        <v>3.1</v>
      </c>
      <c r="CF19" s="12">
        <f t="shared" si="153"/>
        <v>3.27</v>
      </c>
      <c r="CG19" s="12">
        <f t="shared" si="153"/>
        <v>11.25</v>
      </c>
      <c r="CH19" s="12">
        <f t="shared" si="53"/>
        <v>20.54</v>
      </c>
      <c r="CI19" s="12">
        <f t="shared" ref="CI19:CK19" si="154">IF(ISNUMBER(M19),M19,IFERROR(VALUE(SUBSTITUTE(SUBSTITUTE(SUBSTITUTE(SUBSTITUTE(SUBSTITUTE(M19,"(","-"),")",""),"%",""),",","")," ","")),"" ))</f>
        <v>26.87</v>
      </c>
      <c r="CJ19" s="12">
        <f t="shared" si="154"/>
        <v>20.73</v>
      </c>
      <c r="CK19" s="12">
        <f t="shared" si="154"/>
        <v>16.51</v>
      </c>
      <c r="CL19" s="12">
        <f t="shared" si="55"/>
        <v>5</v>
      </c>
      <c r="CM19" s="12">
        <f t="shared" si="56"/>
        <v>7.68</v>
      </c>
      <c r="CN19" s="12">
        <f t="shared" ref="CN19:CO19" si="155">IF(ISNUMBER(R19),R19,IFERROR(VALUE(SUBSTITUTE(SUBSTITUTE(SUBSTITUTE(SUBSTITUTE(R19,"(","-"),")",""),",","")," ","")),"" ))</f>
        <v>8</v>
      </c>
      <c r="CO19" s="12">
        <f t="shared" si="155"/>
        <v>0.05</v>
      </c>
      <c r="CP19" s="12">
        <f t="shared" ref="CP19:CR19" si="156">IF(ISNUMBER(AC19),AC19,IFERROR(VALUE(SUBSTITUTE(SUBSTITUTE(SUBSTITUTE(SUBSTITUTE(AC19,"(","-"),")",""),",","")," ","")),"" ))</f>
        <v>49.22</v>
      </c>
      <c r="CQ19" s="12">
        <f t="shared" si="156"/>
        <v>5.39</v>
      </c>
      <c r="CR19" s="12">
        <f t="shared" si="156"/>
        <v>7.29</v>
      </c>
      <c r="CS19" s="12">
        <f t="shared" ref="CS19:CT19" si="157">IF(ISNUMBER(AF19),AF19,IFERROR(VALUE(SUBSTITUTE(SUBSTITUTE(SUBSTITUTE(SUBSTITUTE(SUBSTITUTE(AF19,"(","-"),")",""),"%",""),",","")," ","")),"" ))</f>
        <v>62.06</v>
      </c>
      <c r="CT19" s="12">
        <f t="shared" si="157"/>
        <v>0</v>
      </c>
      <c r="CU19" s="12">
        <f t="shared" si="60"/>
        <v>26042</v>
      </c>
      <c r="CV19" s="12">
        <f t="shared" si="61"/>
        <v>0.88</v>
      </c>
      <c r="CW19" s="12">
        <f t="shared" ref="CW19:DA19" si="158">IF(ISNUMBER(W19),W19,IFERROR(VALUE(SUBSTITUTE(SUBSTITUTE(SUBSTITUTE(SUBSTITUTE(W19,"(","-"),")",""),",","")," ","")),"" ))</f>
        <v>1423.92</v>
      </c>
      <c r="CX19" s="12">
        <f t="shared" si="158"/>
        <v>1476.09</v>
      </c>
      <c r="CY19" s="12">
        <f t="shared" si="158"/>
        <v>470.22</v>
      </c>
      <c r="CZ19" s="12">
        <f t="shared" si="158"/>
        <v>308.81</v>
      </c>
      <c r="DA19" s="12">
        <f t="shared" si="158"/>
        <v>288.38</v>
      </c>
    </row>
    <row r="20" ht="15.75" customHeight="1">
      <c r="A20" s="25">
        <v>19.0</v>
      </c>
      <c r="B20" s="26" t="s">
        <v>41</v>
      </c>
      <c r="C20" s="9" t="s">
        <v>42</v>
      </c>
      <c r="D20" s="10" t="s">
        <v>43</v>
      </c>
      <c r="E20" s="27" t="s">
        <v>44</v>
      </c>
      <c r="F20" s="28">
        <v>308.65</v>
      </c>
      <c r="G20" s="28">
        <v>46297.5</v>
      </c>
      <c r="H20" s="28">
        <v>12.73</v>
      </c>
      <c r="I20" s="28">
        <v>17.41</v>
      </c>
      <c r="J20" s="28">
        <v>2.19</v>
      </c>
      <c r="K20" s="28">
        <v>2.0</v>
      </c>
      <c r="L20" s="28">
        <v>6.4</v>
      </c>
      <c r="M20" s="28">
        <v>25.39</v>
      </c>
      <c r="N20" s="28">
        <v>21.16</v>
      </c>
      <c r="O20" s="28">
        <v>14.92</v>
      </c>
      <c r="P20" s="28">
        <v>5.0</v>
      </c>
      <c r="Q20" s="28">
        <v>13.38</v>
      </c>
      <c r="R20" s="28">
        <v>7.0</v>
      </c>
      <c r="S20" s="28">
        <v>0.12</v>
      </c>
      <c r="T20" s="28">
        <v>4679933.0</v>
      </c>
      <c r="U20" s="28">
        <v>2435274.0</v>
      </c>
      <c r="V20" s="28">
        <v>12.48</v>
      </c>
      <c r="W20" s="28">
        <v>294.23</v>
      </c>
      <c r="X20" s="28">
        <v>290.2</v>
      </c>
      <c r="Y20" s="28">
        <v>18825.34</v>
      </c>
      <c r="Z20" s="28">
        <v>15324.76</v>
      </c>
      <c r="AA20" s="28">
        <v>8432.34</v>
      </c>
      <c r="AB20" s="28">
        <v>16.47</v>
      </c>
      <c r="AC20" s="28">
        <v>21.16</v>
      </c>
      <c r="AD20" s="28">
        <v>3.69</v>
      </c>
      <c r="AE20" s="28">
        <v>6.41</v>
      </c>
      <c r="AF20" s="28">
        <v>50.0</v>
      </c>
      <c r="AG20" s="28">
        <v>0.0</v>
      </c>
      <c r="AH20" s="29">
        <f t="shared" si="7"/>
        <v>0.7311889719</v>
      </c>
      <c r="AI20" s="29">
        <f t="shared" si="8"/>
        <v>1.095</v>
      </c>
      <c r="AJ20" s="29">
        <f t="shared" si="9"/>
        <v>1.063576844</v>
      </c>
      <c r="AK20" s="29">
        <f t="shared" si="10"/>
        <v>0.406616772</v>
      </c>
      <c r="AL20" s="29">
        <f t="shared" si="11"/>
        <v>0.3310062098</v>
      </c>
      <c r="AM20" s="29">
        <f t="shared" si="12"/>
        <v>0.1821338085</v>
      </c>
      <c r="AN20" s="29">
        <f t="shared" si="13"/>
        <v>0.859</v>
      </c>
      <c r="AO20" s="29">
        <f t="shared" si="14"/>
        <v>0.846</v>
      </c>
      <c r="AP20" s="29">
        <f t="shared" si="15"/>
        <v>0.962</v>
      </c>
      <c r="AQ20" s="29">
        <f t="shared" si="16"/>
        <v>0.962</v>
      </c>
      <c r="AR20" s="29">
        <f t="shared" si="17"/>
        <v>0.731</v>
      </c>
      <c r="AS20" s="29">
        <f t="shared" si="18"/>
        <v>0.667</v>
      </c>
      <c r="AT20" s="29">
        <f t="shared" si="19"/>
        <v>0.615</v>
      </c>
      <c r="AU20" s="29">
        <f t="shared" si="20"/>
        <v>0.8412</v>
      </c>
      <c r="AV20" s="29">
        <f t="shared" si="21"/>
        <v>0.769</v>
      </c>
      <c r="AW20" s="29">
        <f t="shared" si="22"/>
        <v>0.731</v>
      </c>
      <c r="AX20" s="29">
        <f t="shared" si="23"/>
        <v>0.782</v>
      </c>
      <c r="AY20" s="29">
        <f t="shared" si="24"/>
        <v>0.256</v>
      </c>
      <c r="AZ20" s="29">
        <f t="shared" si="25"/>
        <v>0.577</v>
      </c>
      <c r="BA20" s="29">
        <f t="shared" si="26"/>
        <v>0.59605</v>
      </c>
      <c r="BB20" s="29">
        <f t="shared" si="27"/>
        <v>0.59</v>
      </c>
      <c r="BC20" s="29">
        <f t="shared" si="28"/>
        <v>0.654</v>
      </c>
      <c r="BD20" s="29">
        <f t="shared" si="29"/>
        <v>0.897</v>
      </c>
      <c r="BE20" s="29">
        <f t="shared" si="30"/>
        <v>0.59</v>
      </c>
      <c r="BF20" s="29">
        <f t="shared" si="31"/>
        <v>1</v>
      </c>
      <c r="BG20" s="29">
        <f t="shared" si="32"/>
        <v>0.128</v>
      </c>
      <c r="BH20" s="29">
        <f t="shared" si="33"/>
        <v>0.6251</v>
      </c>
      <c r="BI20" s="29">
        <f t="shared" si="34"/>
        <v>0.333</v>
      </c>
      <c r="BJ20" s="29">
        <f t="shared" si="35"/>
        <v>0.385</v>
      </c>
      <c r="BK20" s="29">
        <f t="shared" si="36"/>
        <v>0.538</v>
      </c>
      <c r="BL20" s="29">
        <f t="shared" si="37"/>
        <v>0.601075</v>
      </c>
      <c r="BM20" s="29">
        <f t="shared" si="38"/>
        <v>0.59</v>
      </c>
      <c r="BN20" s="30">
        <f t="shared" si="39"/>
        <v>1</v>
      </c>
      <c r="BO20" s="29">
        <f t="shared" si="40"/>
        <v>0.795</v>
      </c>
      <c r="BP20" s="29">
        <f t="shared" si="41"/>
        <v>0.859</v>
      </c>
      <c r="BQ20" s="29">
        <f t="shared" si="42"/>
        <v>0.3654</v>
      </c>
      <c r="BR20" s="31" t="str">
        <f t="shared" si="43"/>
        <v>High</v>
      </c>
      <c r="BS20" s="29">
        <f t="shared" si="44"/>
        <v>0.61925375</v>
      </c>
      <c r="BT20" s="31" t="str">
        <f t="shared" si="45"/>
        <v>Y</v>
      </c>
      <c r="BU20" s="31" t="str">
        <f t="shared" si="46"/>
        <v>Y</v>
      </c>
      <c r="BV20" s="31" t="str">
        <f t="shared" si="47"/>
        <v>Y</v>
      </c>
      <c r="BW20" s="31" t="str">
        <f t="shared" si="48"/>
        <v>Y</v>
      </c>
      <c r="BX20" s="31" t="str">
        <f t="shared" si="49"/>
        <v>Y</v>
      </c>
      <c r="BY20" s="30">
        <f t="shared" si="50"/>
        <v>4</v>
      </c>
      <c r="BZ20" s="32">
        <f t="shared" si="51"/>
        <v>0.04</v>
      </c>
      <c r="CA20" s="9">
        <f t="shared" ref="CA20:CG20" si="159">IF(ISNUMBER(F20),F20,IFERROR(VALUE(SUBSTITUTE(SUBSTITUTE(SUBSTITUTE(SUBSTITUTE(F20,"(","-"),")",""),",","")," ","")),"" ))</f>
        <v>308.65</v>
      </c>
      <c r="CB20" s="9">
        <f t="shared" si="159"/>
        <v>46297.5</v>
      </c>
      <c r="CC20" s="9">
        <f t="shared" si="159"/>
        <v>12.73</v>
      </c>
      <c r="CD20" s="9">
        <f t="shared" si="159"/>
        <v>17.41</v>
      </c>
      <c r="CE20" s="9">
        <f t="shared" si="159"/>
        <v>2.19</v>
      </c>
      <c r="CF20" s="9">
        <f t="shared" si="159"/>
        <v>2</v>
      </c>
      <c r="CG20" s="9">
        <f t="shared" si="159"/>
        <v>6.4</v>
      </c>
      <c r="CH20" s="9">
        <f t="shared" si="53"/>
        <v>16.47</v>
      </c>
      <c r="CI20" s="9">
        <f t="shared" ref="CI20:CK20" si="160">IF(ISNUMBER(M20),M20,IFERROR(VALUE(SUBSTITUTE(SUBSTITUTE(SUBSTITUTE(SUBSTITUTE(SUBSTITUTE(M20,"(","-"),")",""),"%",""),",","")," ","")),"" ))</f>
        <v>25.39</v>
      </c>
      <c r="CJ20" s="9">
        <f t="shared" si="160"/>
        <v>21.16</v>
      </c>
      <c r="CK20" s="9">
        <f t="shared" si="160"/>
        <v>14.92</v>
      </c>
      <c r="CL20" s="9">
        <f t="shared" si="55"/>
        <v>5</v>
      </c>
      <c r="CM20" s="9">
        <f t="shared" si="56"/>
        <v>13.38</v>
      </c>
      <c r="CN20" s="9">
        <f t="shared" ref="CN20:CO20" si="161">IF(ISNUMBER(R20),R20,IFERROR(VALUE(SUBSTITUTE(SUBSTITUTE(SUBSTITUTE(SUBSTITUTE(R20,"(","-"),")",""),",","")," ","")),"" ))</f>
        <v>7</v>
      </c>
      <c r="CO20" s="9">
        <f t="shared" si="161"/>
        <v>0.12</v>
      </c>
      <c r="CP20" s="9">
        <f t="shared" ref="CP20:CR20" si="162">IF(ISNUMBER(AC20),AC20,IFERROR(VALUE(SUBSTITUTE(SUBSTITUTE(SUBSTITUTE(SUBSTITUTE(AC20,"(","-"),")",""),",","")," ","")),"" ))</f>
        <v>21.16</v>
      </c>
      <c r="CQ20" s="9">
        <f t="shared" si="162"/>
        <v>3.69</v>
      </c>
      <c r="CR20" s="9">
        <f t="shared" si="162"/>
        <v>6.41</v>
      </c>
      <c r="CS20" s="9">
        <f t="shared" ref="CS20:CT20" si="163">IF(ISNUMBER(AF20),AF20,IFERROR(VALUE(SUBSTITUTE(SUBSTITUTE(SUBSTITUTE(SUBSTITUTE(SUBSTITUTE(AF20,"(","-"),")",""),"%",""),",","")," ","")),"" ))</f>
        <v>50</v>
      </c>
      <c r="CT20" s="9">
        <f t="shared" si="163"/>
        <v>0</v>
      </c>
      <c r="CU20" s="9">
        <f t="shared" si="60"/>
        <v>2435274</v>
      </c>
      <c r="CV20" s="9">
        <f t="shared" si="61"/>
        <v>12.48</v>
      </c>
      <c r="CW20" s="9">
        <f t="shared" ref="CW20:DA20" si="164">IF(ISNUMBER(W20),W20,IFERROR(VALUE(SUBSTITUTE(SUBSTITUTE(SUBSTITUTE(SUBSTITUTE(W20,"(","-"),")",""),",","")," ","")),"" ))</f>
        <v>294.23</v>
      </c>
      <c r="CX20" s="9">
        <f t="shared" si="164"/>
        <v>290.2</v>
      </c>
      <c r="CY20" s="9">
        <f t="shared" si="164"/>
        <v>18825.34</v>
      </c>
      <c r="CZ20" s="9">
        <f t="shared" si="164"/>
        <v>15324.76</v>
      </c>
      <c r="DA20" s="9">
        <f t="shared" si="164"/>
        <v>8432.34</v>
      </c>
    </row>
    <row r="21" ht="15.75" customHeight="1">
      <c r="A21" s="33">
        <v>20.0</v>
      </c>
      <c r="B21" s="34" t="s">
        <v>110</v>
      </c>
      <c r="C21" s="12" t="s">
        <v>55</v>
      </c>
      <c r="D21" s="13" t="s">
        <v>111</v>
      </c>
      <c r="E21" s="35" t="s">
        <v>112</v>
      </c>
      <c r="F21" s="36">
        <v>212.47</v>
      </c>
      <c r="G21" s="36">
        <v>11941.71</v>
      </c>
      <c r="H21" s="36">
        <v>15.39</v>
      </c>
      <c r="I21" s="36">
        <v>15.31</v>
      </c>
      <c r="J21" s="36">
        <v>4.41</v>
      </c>
      <c r="K21" s="36">
        <v>1.89</v>
      </c>
      <c r="L21" s="36">
        <v>10.57</v>
      </c>
      <c r="M21" s="36">
        <v>25.01</v>
      </c>
      <c r="N21" s="36">
        <v>23.17</v>
      </c>
      <c r="O21" s="36">
        <v>11.39</v>
      </c>
      <c r="P21" s="36">
        <v>7.0</v>
      </c>
      <c r="Q21" s="36">
        <v>9.08</v>
      </c>
      <c r="R21" s="36">
        <v>7.0</v>
      </c>
      <c r="S21" s="36">
        <v>0.01</v>
      </c>
      <c r="T21" s="36">
        <v>5625529.0</v>
      </c>
      <c r="U21" s="36">
        <v>5387654.0</v>
      </c>
      <c r="V21" s="36">
        <v>6.44</v>
      </c>
      <c r="W21" s="36">
        <v>198.15</v>
      </c>
      <c r="X21" s="36">
        <v>198.44</v>
      </c>
      <c r="Y21" s="36">
        <v>438.22</v>
      </c>
      <c r="Z21" s="36">
        <v>291.95</v>
      </c>
      <c r="AA21" s="36">
        <v>109.13</v>
      </c>
      <c r="AB21" s="36">
        <v>328.25</v>
      </c>
      <c r="AC21" s="36">
        <v>428.28</v>
      </c>
      <c r="AD21" s="36">
        <v>1.17</v>
      </c>
      <c r="AE21" s="36">
        <v>5.62</v>
      </c>
      <c r="AF21" s="36">
        <v>51.32</v>
      </c>
      <c r="AG21" s="36">
        <v>0.0</v>
      </c>
      <c r="AH21" s="38">
        <f t="shared" si="7"/>
        <v>1.005225343</v>
      </c>
      <c r="AI21" s="38">
        <f t="shared" si="8"/>
        <v>2.333333333</v>
      </c>
      <c r="AJ21" s="38">
        <f t="shared" si="9"/>
        <v>1.070701471</v>
      </c>
      <c r="AK21" s="38">
        <f t="shared" si="10"/>
        <v>0.036696587</v>
      </c>
      <c r="AL21" s="38">
        <f t="shared" si="11"/>
        <v>0.02444792245</v>
      </c>
      <c r="AM21" s="38">
        <f t="shared" si="12"/>
        <v>0.009138557208</v>
      </c>
      <c r="AN21" s="38">
        <f t="shared" si="13"/>
        <v>0.795</v>
      </c>
      <c r="AO21" s="38">
        <f t="shared" si="14"/>
        <v>0.308</v>
      </c>
      <c r="AP21" s="38">
        <f t="shared" si="15"/>
        <v>0.654</v>
      </c>
      <c r="AQ21" s="38">
        <f t="shared" si="16"/>
        <v>0.808</v>
      </c>
      <c r="AR21" s="38">
        <f t="shared" si="17"/>
        <v>0.013</v>
      </c>
      <c r="AS21" s="38">
        <f t="shared" si="18"/>
        <v>0.295</v>
      </c>
      <c r="AT21" s="38">
        <f t="shared" si="19"/>
        <v>0.038</v>
      </c>
      <c r="AU21" s="38">
        <f t="shared" si="20"/>
        <v>0.484125</v>
      </c>
      <c r="AV21" s="38">
        <f t="shared" si="21"/>
        <v>0.756</v>
      </c>
      <c r="AW21" s="38">
        <f t="shared" si="22"/>
        <v>0.756</v>
      </c>
      <c r="AX21" s="38">
        <f t="shared" si="23"/>
        <v>0.628</v>
      </c>
      <c r="AY21" s="38">
        <f t="shared" si="24"/>
        <v>0.256</v>
      </c>
      <c r="AZ21" s="38">
        <f t="shared" si="25"/>
        <v>0.897</v>
      </c>
      <c r="BA21" s="38">
        <f t="shared" si="26"/>
        <v>0.6464</v>
      </c>
      <c r="BB21" s="38">
        <f t="shared" si="27"/>
        <v>0.897</v>
      </c>
      <c r="BC21" s="38">
        <f t="shared" si="28"/>
        <v>0.987</v>
      </c>
      <c r="BD21" s="38">
        <f t="shared" si="29"/>
        <v>0.423</v>
      </c>
      <c r="BE21" s="38">
        <f t="shared" si="30"/>
        <v>0.462</v>
      </c>
      <c r="BF21" s="38">
        <f t="shared" si="31"/>
        <v>1</v>
      </c>
      <c r="BG21" s="38">
        <f t="shared" si="32"/>
        <v>0.205</v>
      </c>
      <c r="BH21" s="38">
        <f t="shared" si="33"/>
        <v>0.69545</v>
      </c>
      <c r="BI21" s="38">
        <f t="shared" si="34"/>
        <v>0.705</v>
      </c>
      <c r="BJ21" s="38">
        <f t="shared" si="35"/>
        <v>0.962</v>
      </c>
      <c r="BK21" s="38">
        <f t="shared" si="36"/>
        <v>0.59</v>
      </c>
      <c r="BL21" s="38">
        <f t="shared" si="37"/>
        <v>0.6456125</v>
      </c>
      <c r="BM21" s="38">
        <f t="shared" si="38"/>
        <v>0.462</v>
      </c>
      <c r="BN21" s="39">
        <f t="shared" si="39"/>
        <v>1</v>
      </c>
      <c r="BO21" s="38">
        <f t="shared" si="40"/>
        <v>0.731</v>
      </c>
      <c r="BP21" s="38">
        <f t="shared" si="41"/>
        <v>0.885</v>
      </c>
      <c r="BQ21" s="38">
        <f t="shared" si="42"/>
        <v>0.4064</v>
      </c>
      <c r="BR21" s="40" t="str">
        <f t="shared" si="43"/>
        <v>High</v>
      </c>
      <c r="BS21" s="38">
        <f t="shared" si="44"/>
        <v>0.307380625</v>
      </c>
      <c r="BT21" s="40" t="str">
        <f t="shared" si="45"/>
        <v>Y</v>
      </c>
      <c r="BU21" s="40" t="str">
        <f t="shared" si="46"/>
        <v>Y</v>
      </c>
      <c r="BV21" s="40" t="str">
        <f t="shared" si="47"/>
        <v>Y</v>
      </c>
      <c r="BW21" s="40" t="str">
        <f t="shared" si="48"/>
        <v>Y</v>
      </c>
      <c r="BX21" s="40" t="str">
        <f t="shared" si="49"/>
        <v>Y</v>
      </c>
      <c r="BY21" s="39">
        <f t="shared" si="50"/>
        <v>34</v>
      </c>
      <c r="BZ21" s="41" t="str">
        <f t="shared" si="51"/>
        <v/>
      </c>
      <c r="CA21" s="12">
        <f t="shared" ref="CA21:CG21" si="165">IF(ISNUMBER(F21),F21,IFERROR(VALUE(SUBSTITUTE(SUBSTITUTE(SUBSTITUTE(SUBSTITUTE(F21,"(","-"),")",""),",","")," ","")),"" ))</f>
        <v>212.47</v>
      </c>
      <c r="CB21" s="12">
        <f t="shared" si="165"/>
        <v>11941.71</v>
      </c>
      <c r="CC21" s="12">
        <f t="shared" si="165"/>
        <v>15.39</v>
      </c>
      <c r="CD21" s="12">
        <f t="shared" si="165"/>
        <v>15.31</v>
      </c>
      <c r="CE21" s="12">
        <f t="shared" si="165"/>
        <v>4.41</v>
      </c>
      <c r="CF21" s="12">
        <f t="shared" si="165"/>
        <v>1.89</v>
      </c>
      <c r="CG21" s="12">
        <f t="shared" si="165"/>
        <v>10.57</v>
      </c>
      <c r="CH21" s="12">
        <f t="shared" si="53"/>
        <v>328.25</v>
      </c>
      <c r="CI21" s="12">
        <f t="shared" ref="CI21:CK21" si="166">IF(ISNUMBER(M21),M21,IFERROR(VALUE(SUBSTITUTE(SUBSTITUTE(SUBSTITUTE(SUBSTITUTE(SUBSTITUTE(M21,"(","-"),")",""),"%",""),",","")," ","")),"" ))</f>
        <v>25.01</v>
      </c>
      <c r="CJ21" s="12">
        <f t="shared" si="166"/>
        <v>23.17</v>
      </c>
      <c r="CK21" s="12">
        <f t="shared" si="166"/>
        <v>11.39</v>
      </c>
      <c r="CL21" s="12">
        <f t="shared" si="55"/>
        <v>7</v>
      </c>
      <c r="CM21" s="12">
        <f t="shared" si="56"/>
        <v>9.08</v>
      </c>
      <c r="CN21" s="12">
        <f t="shared" ref="CN21:CO21" si="167">IF(ISNUMBER(R21),R21,IFERROR(VALUE(SUBSTITUTE(SUBSTITUTE(SUBSTITUTE(SUBSTITUTE(R21,"(","-"),")",""),",","")," ","")),"" ))</f>
        <v>7</v>
      </c>
      <c r="CO21" s="12">
        <f t="shared" si="167"/>
        <v>0.01</v>
      </c>
      <c r="CP21" s="12">
        <f t="shared" ref="CP21:CR21" si="168">IF(ISNUMBER(AC21),AC21,IFERROR(VALUE(SUBSTITUTE(SUBSTITUTE(SUBSTITUTE(SUBSTITUTE(AC21,"(","-"),")",""),",","")," ","")),"" ))</f>
        <v>428.28</v>
      </c>
      <c r="CQ21" s="12">
        <f t="shared" si="168"/>
        <v>1.17</v>
      </c>
      <c r="CR21" s="12">
        <f t="shared" si="168"/>
        <v>5.62</v>
      </c>
      <c r="CS21" s="12">
        <f t="shared" ref="CS21:CT21" si="169">IF(ISNUMBER(AF21),AF21,IFERROR(VALUE(SUBSTITUTE(SUBSTITUTE(SUBSTITUTE(SUBSTITUTE(SUBSTITUTE(AF21,"(","-"),")",""),"%",""),",","")," ","")),"" ))</f>
        <v>51.32</v>
      </c>
      <c r="CT21" s="12">
        <f t="shared" si="169"/>
        <v>0</v>
      </c>
      <c r="CU21" s="12">
        <f t="shared" si="60"/>
        <v>5387654</v>
      </c>
      <c r="CV21" s="12">
        <f t="shared" si="61"/>
        <v>6.44</v>
      </c>
      <c r="CW21" s="12">
        <f t="shared" ref="CW21:DA21" si="170">IF(ISNUMBER(W21),W21,IFERROR(VALUE(SUBSTITUTE(SUBSTITUTE(SUBSTITUTE(SUBSTITUTE(W21,"(","-"),")",""),",","")," ","")),"" ))</f>
        <v>198.15</v>
      </c>
      <c r="CX21" s="12">
        <f t="shared" si="170"/>
        <v>198.44</v>
      </c>
      <c r="CY21" s="12">
        <f t="shared" si="170"/>
        <v>438.22</v>
      </c>
      <c r="CZ21" s="12">
        <f t="shared" si="170"/>
        <v>291.95</v>
      </c>
      <c r="DA21" s="12">
        <f t="shared" si="170"/>
        <v>109.13</v>
      </c>
    </row>
    <row r="22" ht="15.75" customHeight="1">
      <c r="A22" s="25">
        <v>21.0</v>
      </c>
      <c r="B22" s="26" t="s">
        <v>54</v>
      </c>
      <c r="C22" s="9" t="s">
        <v>55</v>
      </c>
      <c r="D22" s="10" t="s">
        <v>56</v>
      </c>
      <c r="E22" s="27" t="s">
        <v>57</v>
      </c>
      <c r="F22" s="28">
        <v>172.19</v>
      </c>
      <c r="G22" s="28">
        <v>8324.35</v>
      </c>
      <c r="H22" s="28">
        <v>18.89</v>
      </c>
      <c r="I22" s="28">
        <v>22.96</v>
      </c>
      <c r="J22" s="28">
        <v>3.83</v>
      </c>
      <c r="K22" s="28">
        <v>4.44</v>
      </c>
      <c r="L22" s="28">
        <v>10.23</v>
      </c>
      <c r="M22" s="28">
        <v>24.89</v>
      </c>
      <c r="N22" s="28">
        <v>18.96</v>
      </c>
      <c r="O22" s="28">
        <v>14.85</v>
      </c>
      <c r="P22" s="28">
        <v>6.0</v>
      </c>
      <c r="Q22" s="28">
        <v>8.1</v>
      </c>
      <c r="R22" s="28">
        <v>9.0</v>
      </c>
      <c r="S22" s="28">
        <v>0.02</v>
      </c>
      <c r="T22" s="28">
        <v>1412846.0</v>
      </c>
      <c r="U22" s="28">
        <v>2222265.0</v>
      </c>
      <c r="V22" s="28">
        <v>14.37</v>
      </c>
      <c r="W22" s="28">
        <v>176.1</v>
      </c>
      <c r="X22" s="28">
        <v>170.31</v>
      </c>
      <c r="Y22" s="28">
        <v>2065.66</v>
      </c>
      <c r="Z22" s="28">
        <v>1744.58</v>
      </c>
      <c r="AA22" s="28">
        <v>1076.05</v>
      </c>
      <c r="AB22" s="28">
        <v>23.21</v>
      </c>
      <c r="AC22" s="28">
        <v>81.83</v>
      </c>
      <c r="AD22" s="28">
        <v>3.39</v>
      </c>
      <c r="AE22" s="28">
        <v>7.56</v>
      </c>
      <c r="AF22" s="28">
        <v>44.01</v>
      </c>
      <c r="AG22" s="28">
        <v>0.0</v>
      </c>
      <c r="AH22" s="29">
        <f t="shared" si="7"/>
        <v>0.8227351916</v>
      </c>
      <c r="AI22" s="29">
        <f t="shared" si="8"/>
        <v>0.8626126126</v>
      </c>
      <c r="AJ22" s="29">
        <f t="shared" si="9"/>
        <v>1.011038694</v>
      </c>
      <c r="AK22" s="29">
        <f t="shared" si="10"/>
        <v>0.2481467021</v>
      </c>
      <c r="AL22" s="29">
        <f t="shared" si="11"/>
        <v>0.2095755224</v>
      </c>
      <c r="AM22" s="29">
        <f t="shared" si="12"/>
        <v>0.129265348</v>
      </c>
      <c r="AN22" s="29">
        <f t="shared" si="13"/>
        <v>0.603</v>
      </c>
      <c r="AO22" s="29">
        <f t="shared" si="14"/>
        <v>0.436</v>
      </c>
      <c r="AP22" s="29">
        <f t="shared" si="15"/>
        <v>0.705</v>
      </c>
      <c r="AQ22" s="29">
        <f t="shared" si="16"/>
        <v>0.756</v>
      </c>
      <c r="AR22" s="29">
        <f t="shared" si="17"/>
        <v>0.641</v>
      </c>
      <c r="AS22" s="29">
        <f t="shared" si="18"/>
        <v>0.577</v>
      </c>
      <c r="AT22" s="29">
        <f t="shared" si="19"/>
        <v>0.795</v>
      </c>
      <c r="AU22" s="29">
        <f t="shared" si="20"/>
        <v>0.63945</v>
      </c>
      <c r="AV22" s="29">
        <f t="shared" si="21"/>
        <v>0.744</v>
      </c>
      <c r="AW22" s="29">
        <f t="shared" si="22"/>
        <v>0.603</v>
      </c>
      <c r="AX22" s="29">
        <f t="shared" si="23"/>
        <v>0.769</v>
      </c>
      <c r="AY22" s="29">
        <f t="shared" si="24"/>
        <v>0.897</v>
      </c>
      <c r="AZ22" s="29">
        <f t="shared" si="25"/>
        <v>0.756</v>
      </c>
      <c r="BA22" s="29">
        <f t="shared" si="26"/>
        <v>0.75895</v>
      </c>
      <c r="BB22" s="29">
        <f t="shared" si="27"/>
        <v>0.808</v>
      </c>
      <c r="BC22" s="29">
        <f t="shared" si="28"/>
        <v>0.833</v>
      </c>
      <c r="BD22" s="29">
        <f t="shared" si="29"/>
        <v>0.872</v>
      </c>
      <c r="BE22" s="29">
        <f t="shared" si="30"/>
        <v>0.782</v>
      </c>
      <c r="BF22" s="29">
        <f t="shared" si="31"/>
        <v>1</v>
      </c>
      <c r="BG22" s="29">
        <f t="shared" si="32"/>
        <v>0.064</v>
      </c>
      <c r="BH22" s="29">
        <f t="shared" si="33"/>
        <v>0.75645</v>
      </c>
      <c r="BI22" s="29">
        <f t="shared" si="34"/>
        <v>0.423</v>
      </c>
      <c r="BJ22" s="29">
        <f t="shared" si="35"/>
        <v>0.205</v>
      </c>
      <c r="BK22" s="29">
        <f t="shared" si="36"/>
        <v>0.346</v>
      </c>
      <c r="BL22" s="29">
        <f t="shared" si="37"/>
        <v>0.6115125</v>
      </c>
      <c r="BM22" s="29">
        <f t="shared" si="38"/>
        <v>0.641</v>
      </c>
      <c r="BN22" s="30">
        <f t="shared" si="39"/>
        <v>1</v>
      </c>
      <c r="BO22" s="29">
        <f t="shared" si="40"/>
        <v>0.8205</v>
      </c>
      <c r="BP22" s="29">
        <f t="shared" si="41"/>
        <v>0.846</v>
      </c>
      <c r="BQ22" s="29">
        <f t="shared" si="42"/>
        <v>0.2963</v>
      </c>
      <c r="BR22" s="31" t="str">
        <f t="shared" si="43"/>
        <v>High</v>
      </c>
      <c r="BS22" s="29">
        <f t="shared" si="44"/>
        <v>0.627925625</v>
      </c>
      <c r="BT22" s="31" t="str">
        <f t="shared" si="45"/>
        <v>Y</v>
      </c>
      <c r="BU22" s="31" t="str">
        <f t="shared" si="46"/>
        <v>Y</v>
      </c>
      <c r="BV22" s="31" t="str">
        <f t="shared" si="47"/>
        <v>Y</v>
      </c>
      <c r="BW22" s="31" t="str">
        <f t="shared" si="48"/>
        <v>Y</v>
      </c>
      <c r="BX22" s="31" t="str">
        <f t="shared" si="49"/>
        <v>Y</v>
      </c>
      <c r="BY22" s="30">
        <f t="shared" si="50"/>
        <v>2</v>
      </c>
      <c r="BZ22" s="32">
        <f t="shared" si="51"/>
        <v>0.04</v>
      </c>
      <c r="CA22" s="9">
        <f t="shared" ref="CA22:CG22" si="171">IF(ISNUMBER(F22),F22,IFERROR(VALUE(SUBSTITUTE(SUBSTITUTE(SUBSTITUTE(SUBSTITUTE(F22,"(","-"),")",""),",","")," ","")),"" ))</f>
        <v>172.19</v>
      </c>
      <c r="CB22" s="9">
        <f t="shared" si="171"/>
        <v>8324.35</v>
      </c>
      <c r="CC22" s="9">
        <f t="shared" si="171"/>
        <v>18.89</v>
      </c>
      <c r="CD22" s="9">
        <f t="shared" si="171"/>
        <v>22.96</v>
      </c>
      <c r="CE22" s="9">
        <f t="shared" si="171"/>
        <v>3.83</v>
      </c>
      <c r="CF22" s="9">
        <f t="shared" si="171"/>
        <v>4.44</v>
      </c>
      <c r="CG22" s="9">
        <f t="shared" si="171"/>
        <v>10.23</v>
      </c>
      <c r="CH22" s="9">
        <f t="shared" si="53"/>
        <v>23.21</v>
      </c>
      <c r="CI22" s="9">
        <f t="shared" ref="CI22:CK22" si="172">IF(ISNUMBER(M22),M22,IFERROR(VALUE(SUBSTITUTE(SUBSTITUTE(SUBSTITUTE(SUBSTITUTE(SUBSTITUTE(M22,"(","-"),")",""),"%",""),",","")," ","")),"" ))</f>
        <v>24.89</v>
      </c>
      <c r="CJ22" s="9">
        <f t="shared" si="172"/>
        <v>18.96</v>
      </c>
      <c r="CK22" s="9">
        <f t="shared" si="172"/>
        <v>14.85</v>
      </c>
      <c r="CL22" s="9">
        <f t="shared" si="55"/>
        <v>6</v>
      </c>
      <c r="CM22" s="9">
        <f t="shared" si="56"/>
        <v>8.1</v>
      </c>
      <c r="CN22" s="9">
        <f t="shared" ref="CN22:CO22" si="173">IF(ISNUMBER(R22),R22,IFERROR(VALUE(SUBSTITUTE(SUBSTITUTE(SUBSTITUTE(SUBSTITUTE(R22,"(","-"),")",""),",","")," ","")),"" ))</f>
        <v>9</v>
      </c>
      <c r="CO22" s="9">
        <f t="shared" si="173"/>
        <v>0.02</v>
      </c>
      <c r="CP22" s="9">
        <f t="shared" ref="CP22:CR22" si="174">IF(ISNUMBER(AC22),AC22,IFERROR(VALUE(SUBSTITUTE(SUBSTITUTE(SUBSTITUTE(SUBSTITUTE(AC22,"(","-"),")",""),",","")," ","")),"" ))</f>
        <v>81.83</v>
      </c>
      <c r="CQ22" s="9">
        <f t="shared" si="174"/>
        <v>3.39</v>
      </c>
      <c r="CR22" s="9">
        <f t="shared" si="174"/>
        <v>7.56</v>
      </c>
      <c r="CS22" s="9">
        <f t="shared" ref="CS22:CT22" si="175">IF(ISNUMBER(AF22),AF22,IFERROR(VALUE(SUBSTITUTE(SUBSTITUTE(SUBSTITUTE(SUBSTITUTE(SUBSTITUTE(AF22,"(","-"),")",""),"%",""),",","")," ","")),"" ))</f>
        <v>44.01</v>
      </c>
      <c r="CT22" s="9">
        <f t="shared" si="175"/>
        <v>0</v>
      </c>
      <c r="CU22" s="9">
        <f t="shared" si="60"/>
        <v>2222265</v>
      </c>
      <c r="CV22" s="9">
        <f t="shared" si="61"/>
        <v>14.37</v>
      </c>
      <c r="CW22" s="9">
        <f t="shared" ref="CW22:DA22" si="176">IF(ISNUMBER(W22),W22,IFERROR(VALUE(SUBSTITUTE(SUBSTITUTE(SUBSTITUTE(SUBSTITUTE(W22,"(","-"),")",""),",","")," ","")),"" ))</f>
        <v>176.1</v>
      </c>
      <c r="CX22" s="9">
        <f t="shared" si="176"/>
        <v>170.31</v>
      </c>
      <c r="CY22" s="9">
        <f t="shared" si="176"/>
        <v>2065.66</v>
      </c>
      <c r="CZ22" s="9">
        <f t="shared" si="176"/>
        <v>1744.58</v>
      </c>
      <c r="DA22" s="9">
        <f t="shared" si="176"/>
        <v>1076.05</v>
      </c>
    </row>
    <row r="23" ht="15.75" customHeight="1">
      <c r="A23" s="33">
        <v>22.0</v>
      </c>
      <c r="B23" s="34" t="s">
        <v>82</v>
      </c>
      <c r="C23" s="12" t="s">
        <v>50</v>
      </c>
      <c r="D23" s="13" t="s">
        <v>83</v>
      </c>
      <c r="E23" s="35" t="s">
        <v>84</v>
      </c>
      <c r="F23" s="36">
        <v>232.25</v>
      </c>
      <c r="G23" s="36">
        <v>544.18</v>
      </c>
      <c r="H23" s="36">
        <v>20.1</v>
      </c>
      <c r="I23" s="36">
        <v>22.49</v>
      </c>
      <c r="J23" s="36">
        <v>3.2</v>
      </c>
      <c r="K23" s="36">
        <v>2.72</v>
      </c>
      <c r="L23" s="36">
        <v>13.0</v>
      </c>
      <c r="M23" s="36">
        <v>24.38</v>
      </c>
      <c r="N23" s="36">
        <v>18.55</v>
      </c>
      <c r="O23" s="36">
        <v>14.94</v>
      </c>
      <c r="P23" s="36">
        <v>6.0</v>
      </c>
      <c r="Q23" s="36">
        <v>7.33</v>
      </c>
      <c r="R23" s="36">
        <v>6.0</v>
      </c>
      <c r="S23" s="36">
        <v>0.0</v>
      </c>
      <c r="T23" s="36">
        <v>6600.0</v>
      </c>
      <c r="U23" s="36">
        <v>72449.0</v>
      </c>
      <c r="V23" s="36">
        <v>7.62</v>
      </c>
      <c r="W23" s="36">
        <v>243.31</v>
      </c>
      <c r="X23" s="36">
        <v>219.79</v>
      </c>
      <c r="Y23" s="36">
        <v>86.47</v>
      </c>
      <c r="Z23" s="36">
        <v>53.54</v>
      </c>
      <c r="AA23" s="36">
        <v>46.48</v>
      </c>
      <c r="AB23" s="36">
        <v>35.08</v>
      </c>
      <c r="AC23" s="36">
        <v>44.46</v>
      </c>
      <c r="AD23" s="36">
        <v>11.18</v>
      </c>
      <c r="AE23" s="36">
        <v>8.17</v>
      </c>
      <c r="AF23" s="36">
        <v>68.68</v>
      </c>
      <c r="AG23" s="36">
        <v>0.0</v>
      </c>
      <c r="AH23" s="38">
        <f t="shared" si="7"/>
        <v>0.8937305469</v>
      </c>
      <c r="AI23" s="38">
        <f t="shared" si="8"/>
        <v>1.176470588</v>
      </c>
      <c r="AJ23" s="38">
        <f t="shared" si="9"/>
        <v>1.056690477</v>
      </c>
      <c r="AK23" s="38">
        <f t="shared" si="10"/>
        <v>0.1588996288</v>
      </c>
      <c r="AL23" s="38">
        <f t="shared" si="11"/>
        <v>0.09838656327</v>
      </c>
      <c r="AM23" s="38">
        <f t="shared" si="12"/>
        <v>0.08541291484</v>
      </c>
      <c r="AN23" s="38">
        <f t="shared" si="13"/>
        <v>0.577</v>
      </c>
      <c r="AO23" s="38">
        <f t="shared" si="14"/>
        <v>0.603</v>
      </c>
      <c r="AP23" s="38">
        <f t="shared" si="15"/>
        <v>0.41</v>
      </c>
      <c r="AQ23" s="38">
        <f t="shared" si="16"/>
        <v>0.641</v>
      </c>
      <c r="AR23" s="38">
        <f t="shared" si="17"/>
        <v>0.397</v>
      </c>
      <c r="AS23" s="38">
        <f t="shared" si="18"/>
        <v>0.487</v>
      </c>
      <c r="AT23" s="38">
        <f t="shared" si="19"/>
        <v>0.564</v>
      </c>
      <c r="AU23" s="38">
        <f t="shared" si="20"/>
        <v>0.522375</v>
      </c>
      <c r="AV23" s="38">
        <f t="shared" si="21"/>
        <v>0.731</v>
      </c>
      <c r="AW23" s="38">
        <f t="shared" si="22"/>
        <v>0.59</v>
      </c>
      <c r="AX23" s="38">
        <f t="shared" si="23"/>
        <v>0.795</v>
      </c>
      <c r="AY23" s="38">
        <f t="shared" si="24"/>
        <v>0</v>
      </c>
      <c r="AZ23" s="38">
        <f t="shared" si="25"/>
        <v>0.756</v>
      </c>
      <c r="BA23" s="38">
        <f t="shared" si="26"/>
        <v>0.53145</v>
      </c>
      <c r="BB23" s="38">
        <f t="shared" si="27"/>
        <v>1</v>
      </c>
      <c r="BC23" s="38">
        <f t="shared" si="28"/>
        <v>0.731</v>
      </c>
      <c r="BD23" s="38">
        <f t="shared" si="29"/>
        <v>1</v>
      </c>
      <c r="BE23" s="38">
        <f t="shared" si="30"/>
        <v>0.859</v>
      </c>
      <c r="BF23" s="38">
        <f t="shared" si="31"/>
        <v>1</v>
      </c>
      <c r="BG23" s="38">
        <f t="shared" si="32"/>
        <v>0.667</v>
      </c>
      <c r="BH23" s="38">
        <f t="shared" si="33"/>
        <v>0.8911</v>
      </c>
      <c r="BI23" s="38">
        <f t="shared" si="34"/>
        <v>0.513</v>
      </c>
      <c r="BJ23" s="38">
        <f t="shared" si="35"/>
        <v>0.436</v>
      </c>
      <c r="BK23" s="38">
        <f t="shared" si="36"/>
        <v>0.487</v>
      </c>
      <c r="BL23" s="38">
        <f t="shared" si="37"/>
        <v>0.856225</v>
      </c>
      <c r="BM23" s="38">
        <f t="shared" si="38"/>
        <v>0.487</v>
      </c>
      <c r="BN23" s="39">
        <f t="shared" si="39"/>
        <v>1</v>
      </c>
      <c r="BO23" s="38">
        <f t="shared" si="40"/>
        <v>0.7435</v>
      </c>
      <c r="BP23" s="38">
        <f t="shared" si="41"/>
        <v>0.231</v>
      </c>
      <c r="BQ23" s="38">
        <f t="shared" si="42"/>
        <v>0.2422</v>
      </c>
      <c r="BR23" s="40" t="str">
        <f t="shared" si="43"/>
        <v>High</v>
      </c>
      <c r="BS23" s="38">
        <f t="shared" si="44"/>
        <v>0.57346125</v>
      </c>
      <c r="BT23" s="40" t="str">
        <f t="shared" si="45"/>
        <v>Y</v>
      </c>
      <c r="BU23" s="40" t="str">
        <f t="shared" si="46"/>
        <v>Y</v>
      </c>
      <c r="BV23" s="40" t="str">
        <f t="shared" si="47"/>
        <v>Y</v>
      </c>
      <c r="BW23" s="40" t="str">
        <f t="shared" si="48"/>
        <v>Y</v>
      </c>
      <c r="BX23" s="40" t="str">
        <f t="shared" si="49"/>
        <v>Y</v>
      </c>
      <c r="BY23" s="39">
        <f t="shared" si="50"/>
        <v>8</v>
      </c>
      <c r="BZ23" s="41">
        <f t="shared" si="51"/>
        <v>0.04</v>
      </c>
      <c r="CA23" s="12">
        <f t="shared" ref="CA23:CG23" si="177">IF(ISNUMBER(F23),F23,IFERROR(VALUE(SUBSTITUTE(SUBSTITUTE(SUBSTITUTE(SUBSTITUTE(F23,"(","-"),")",""),",","")," ","")),"" ))</f>
        <v>232.25</v>
      </c>
      <c r="CB23" s="12">
        <f t="shared" si="177"/>
        <v>544.18</v>
      </c>
      <c r="CC23" s="12">
        <f t="shared" si="177"/>
        <v>20.1</v>
      </c>
      <c r="CD23" s="12">
        <f t="shared" si="177"/>
        <v>22.49</v>
      </c>
      <c r="CE23" s="12">
        <f t="shared" si="177"/>
        <v>3.2</v>
      </c>
      <c r="CF23" s="12">
        <f t="shared" si="177"/>
        <v>2.72</v>
      </c>
      <c r="CG23" s="12">
        <f t="shared" si="177"/>
        <v>13</v>
      </c>
      <c r="CH23" s="12">
        <f t="shared" si="53"/>
        <v>35.08</v>
      </c>
      <c r="CI23" s="12">
        <f t="shared" ref="CI23:CK23" si="178">IF(ISNUMBER(M23),M23,IFERROR(VALUE(SUBSTITUTE(SUBSTITUTE(SUBSTITUTE(SUBSTITUTE(SUBSTITUTE(M23,"(","-"),")",""),"%",""),",","")," ","")),"" ))</f>
        <v>24.38</v>
      </c>
      <c r="CJ23" s="12">
        <f t="shared" si="178"/>
        <v>18.55</v>
      </c>
      <c r="CK23" s="12">
        <f t="shared" si="178"/>
        <v>14.94</v>
      </c>
      <c r="CL23" s="12">
        <f t="shared" si="55"/>
        <v>6</v>
      </c>
      <c r="CM23" s="12">
        <f t="shared" si="56"/>
        <v>7.33</v>
      </c>
      <c r="CN23" s="12">
        <f t="shared" ref="CN23:CO23" si="179">IF(ISNUMBER(R23),R23,IFERROR(VALUE(SUBSTITUTE(SUBSTITUTE(SUBSTITUTE(SUBSTITUTE(R23,"(","-"),")",""),",","")," ","")),"" ))</f>
        <v>6</v>
      </c>
      <c r="CO23" s="12">
        <f t="shared" si="179"/>
        <v>0</v>
      </c>
      <c r="CP23" s="12">
        <f t="shared" ref="CP23:CR23" si="180">IF(ISNUMBER(AC23),AC23,IFERROR(VALUE(SUBSTITUTE(SUBSTITUTE(SUBSTITUTE(SUBSTITUTE(AC23,"(","-"),")",""),",","")," ","")),"" ))</f>
        <v>44.46</v>
      </c>
      <c r="CQ23" s="12">
        <f t="shared" si="180"/>
        <v>11.18</v>
      </c>
      <c r="CR23" s="12">
        <f t="shared" si="180"/>
        <v>8.17</v>
      </c>
      <c r="CS23" s="12">
        <f t="shared" ref="CS23:CT23" si="181">IF(ISNUMBER(AF23),AF23,IFERROR(VALUE(SUBSTITUTE(SUBSTITUTE(SUBSTITUTE(SUBSTITUTE(SUBSTITUTE(AF23,"(","-"),")",""),"%",""),",","")," ","")),"" ))</f>
        <v>68.68</v>
      </c>
      <c r="CT23" s="12">
        <f t="shared" si="181"/>
        <v>0</v>
      </c>
      <c r="CU23" s="12">
        <f t="shared" si="60"/>
        <v>72449</v>
      </c>
      <c r="CV23" s="12">
        <f t="shared" si="61"/>
        <v>7.62</v>
      </c>
      <c r="CW23" s="12">
        <f t="shared" ref="CW23:DA23" si="182">IF(ISNUMBER(W23),W23,IFERROR(VALUE(SUBSTITUTE(SUBSTITUTE(SUBSTITUTE(SUBSTITUTE(W23,"(","-"),")",""),",","")," ","")),"" ))</f>
        <v>243.31</v>
      </c>
      <c r="CX23" s="12">
        <f t="shared" si="182"/>
        <v>219.79</v>
      </c>
      <c r="CY23" s="12">
        <f t="shared" si="182"/>
        <v>86.47</v>
      </c>
      <c r="CZ23" s="12">
        <f t="shared" si="182"/>
        <v>53.54</v>
      </c>
      <c r="DA23" s="12">
        <f t="shared" si="182"/>
        <v>46.48</v>
      </c>
    </row>
    <row r="24" ht="15.75" customHeight="1">
      <c r="A24" s="25">
        <v>23.0</v>
      </c>
      <c r="B24" s="26" t="s">
        <v>324</v>
      </c>
      <c r="C24" s="9" t="s">
        <v>67</v>
      </c>
      <c r="D24" s="10" t="s">
        <v>325</v>
      </c>
      <c r="E24" s="27" t="s">
        <v>326</v>
      </c>
      <c r="F24" s="28">
        <v>319.0</v>
      </c>
      <c r="G24" s="28">
        <v>938.85</v>
      </c>
      <c r="H24" s="28">
        <v>10.61</v>
      </c>
      <c r="I24" s="28">
        <v>27.72</v>
      </c>
      <c r="J24" s="28">
        <v>2.4</v>
      </c>
      <c r="K24" s="28">
        <v>3.06</v>
      </c>
      <c r="L24" s="28">
        <v>7.24</v>
      </c>
      <c r="M24" s="28">
        <v>22.97</v>
      </c>
      <c r="N24" s="28">
        <v>24.88</v>
      </c>
      <c r="O24" s="28">
        <v>13.87</v>
      </c>
      <c r="P24" s="28">
        <v>2.0</v>
      </c>
      <c r="Q24" s="28">
        <v>11.57</v>
      </c>
      <c r="R24" s="28">
        <v>8.0</v>
      </c>
      <c r="S24" s="28">
        <v>0.29</v>
      </c>
      <c r="T24" s="28">
        <v>16451.0</v>
      </c>
      <c r="U24" s="28">
        <v>24587.0</v>
      </c>
      <c r="V24" s="28">
        <v>-4.26</v>
      </c>
      <c r="W24" s="28">
        <v>324.04</v>
      </c>
      <c r="X24" s="28">
        <v>316.74</v>
      </c>
      <c r="Y24" s="28">
        <v>368.4</v>
      </c>
      <c r="Z24" s="28">
        <v>213.64</v>
      </c>
      <c r="AA24" s="28">
        <v>199.9</v>
      </c>
      <c r="AB24" s="28">
        <v>14.07</v>
      </c>
      <c r="AC24" s="28">
        <v>9.87</v>
      </c>
      <c r="AD24" s="28">
        <v>0.88</v>
      </c>
      <c r="AE24" s="28">
        <v>4.77</v>
      </c>
      <c r="AF24" s="28">
        <v>64.09</v>
      </c>
      <c r="AG24" s="28">
        <v>0.0</v>
      </c>
      <c r="AH24" s="29">
        <f t="shared" si="7"/>
        <v>0.3827561328</v>
      </c>
      <c r="AI24" s="29">
        <f t="shared" si="8"/>
        <v>0.7843137255</v>
      </c>
      <c r="AJ24" s="29">
        <f t="shared" si="9"/>
        <v>1.00713519</v>
      </c>
      <c r="AK24" s="29">
        <f t="shared" si="10"/>
        <v>0.3923949513</v>
      </c>
      <c r="AL24" s="29">
        <f t="shared" si="11"/>
        <v>0.2275549875</v>
      </c>
      <c r="AM24" s="29">
        <f t="shared" si="12"/>
        <v>0.2129200618</v>
      </c>
      <c r="AN24" s="29">
        <f t="shared" si="13"/>
        <v>0.974</v>
      </c>
      <c r="AO24" s="29">
        <f t="shared" si="14"/>
        <v>0.756</v>
      </c>
      <c r="AP24" s="29">
        <f t="shared" si="15"/>
        <v>0.897</v>
      </c>
      <c r="AQ24" s="29">
        <f t="shared" si="16"/>
        <v>0.91</v>
      </c>
      <c r="AR24" s="29">
        <f t="shared" si="17"/>
        <v>0.769</v>
      </c>
      <c r="AS24" s="29">
        <f t="shared" si="18"/>
        <v>0.987</v>
      </c>
      <c r="AT24" s="29">
        <f t="shared" si="19"/>
        <v>0.846</v>
      </c>
      <c r="AU24" s="29">
        <f t="shared" si="20"/>
        <v>0.876925</v>
      </c>
      <c r="AV24" s="29">
        <f t="shared" si="21"/>
        <v>0.718</v>
      </c>
      <c r="AW24" s="29">
        <f t="shared" si="22"/>
        <v>0.782</v>
      </c>
      <c r="AX24" s="29">
        <f t="shared" si="23"/>
        <v>0.718</v>
      </c>
      <c r="AY24" s="29">
        <f t="shared" si="24"/>
        <v>0.551</v>
      </c>
      <c r="AZ24" s="29">
        <f t="shared" si="25"/>
        <v>0.026</v>
      </c>
      <c r="BA24" s="29">
        <f t="shared" si="26"/>
        <v>0.55065</v>
      </c>
      <c r="BB24" s="29">
        <f t="shared" si="27"/>
        <v>0.474</v>
      </c>
      <c r="BC24" s="29">
        <f t="shared" si="28"/>
        <v>0.474</v>
      </c>
      <c r="BD24" s="29">
        <f t="shared" si="29"/>
        <v>0.244</v>
      </c>
      <c r="BE24" s="29">
        <f t="shared" si="30"/>
        <v>0.269</v>
      </c>
      <c r="BF24" s="29">
        <f t="shared" si="31"/>
        <v>1</v>
      </c>
      <c r="BG24" s="29">
        <f t="shared" si="32"/>
        <v>0.5</v>
      </c>
      <c r="BH24" s="29">
        <f t="shared" si="33"/>
        <v>0.45495</v>
      </c>
      <c r="BI24" s="29">
        <f t="shared" si="34"/>
        <v>0.013</v>
      </c>
      <c r="BJ24" s="29">
        <f t="shared" si="35"/>
        <v>0.154</v>
      </c>
      <c r="BK24" s="29">
        <f t="shared" si="36"/>
        <v>0.321</v>
      </c>
      <c r="BL24" s="29">
        <f t="shared" si="37"/>
        <v>0.6887375</v>
      </c>
      <c r="BM24" s="29">
        <f t="shared" si="38"/>
        <v>0.179</v>
      </c>
      <c r="BN24" s="30">
        <f t="shared" si="39"/>
        <v>1</v>
      </c>
      <c r="BO24" s="29">
        <f t="shared" si="40"/>
        <v>0.5895</v>
      </c>
      <c r="BP24" s="29">
        <f t="shared" si="41"/>
        <v>0.115</v>
      </c>
      <c r="BQ24" s="29">
        <f t="shared" si="42"/>
        <v>0.5577</v>
      </c>
      <c r="BR24" s="31" t="str">
        <f t="shared" si="43"/>
        <v>High</v>
      </c>
      <c r="BS24" s="29">
        <f t="shared" si="44"/>
        <v>0.526636875</v>
      </c>
      <c r="BT24" s="31" t="str">
        <f t="shared" si="45"/>
        <v>N</v>
      </c>
      <c r="BU24" s="31" t="str">
        <f t="shared" si="46"/>
        <v>Y</v>
      </c>
      <c r="BV24" s="31" t="str">
        <f t="shared" si="47"/>
        <v>Y</v>
      </c>
      <c r="BW24" s="31" t="str">
        <f t="shared" si="48"/>
        <v>Y</v>
      </c>
      <c r="BX24" s="31" t="str">
        <f t="shared" si="49"/>
        <v>N</v>
      </c>
      <c r="BY24" s="30" t="str">
        <f t="shared" si="50"/>
        <v/>
      </c>
      <c r="BZ24" s="32" t="str">
        <f t="shared" si="51"/>
        <v/>
      </c>
      <c r="CA24" s="9">
        <f t="shared" ref="CA24:CG24" si="183">IF(ISNUMBER(F24),F24,IFERROR(VALUE(SUBSTITUTE(SUBSTITUTE(SUBSTITUTE(SUBSTITUTE(F24,"(","-"),")",""),",","")," ","")),"" ))</f>
        <v>319</v>
      </c>
      <c r="CB24" s="9">
        <f t="shared" si="183"/>
        <v>938.85</v>
      </c>
      <c r="CC24" s="9">
        <f t="shared" si="183"/>
        <v>10.61</v>
      </c>
      <c r="CD24" s="9">
        <f t="shared" si="183"/>
        <v>27.72</v>
      </c>
      <c r="CE24" s="9">
        <f t="shared" si="183"/>
        <v>2.4</v>
      </c>
      <c r="CF24" s="9">
        <f t="shared" si="183"/>
        <v>3.06</v>
      </c>
      <c r="CG24" s="9">
        <f t="shared" si="183"/>
        <v>7.24</v>
      </c>
      <c r="CH24" s="9">
        <f t="shared" si="53"/>
        <v>14.07</v>
      </c>
      <c r="CI24" s="9">
        <f t="shared" ref="CI24:CK24" si="184">IF(ISNUMBER(M24),M24,IFERROR(VALUE(SUBSTITUTE(SUBSTITUTE(SUBSTITUTE(SUBSTITUTE(SUBSTITUTE(M24,"(","-"),")",""),"%",""),",","")," ","")),"" ))</f>
        <v>22.97</v>
      </c>
      <c r="CJ24" s="9">
        <f t="shared" si="184"/>
        <v>24.88</v>
      </c>
      <c r="CK24" s="9">
        <f t="shared" si="184"/>
        <v>13.87</v>
      </c>
      <c r="CL24" s="9">
        <f t="shared" si="55"/>
        <v>2</v>
      </c>
      <c r="CM24" s="9">
        <f t="shared" si="56"/>
        <v>11.57</v>
      </c>
      <c r="CN24" s="9">
        <f t="shared" ref="CN24:CO24" si="185">IF(ISNUMBER(R24),R24,IFERROR(VALUE(SUBSTITUTE(SUBSTITUTE(SUBSTITUTE(SUBSTITUTE(R24,"(","-"),")",""),",","")," ","")),"" ))</f>
        <v>8</v>
      </c>
      <c r="CO24" s="9">
        <f t="shared" si="185"/>
        <v>0.29</v>
      </c>
      <c r="CP24" s="9">
        <f t="shared" ref="CP24:CR24" si="186">IF(ISNUMBER(AC24),AC24,IFERROR(VALUE(SUBSTITUTE(SUBSTITUTE(SUBSTITUTE(SUBSTITUTE(AC24,"(","-"),")",""),",","")," ","")),"" ))</f>
        <v>9.87</v>
      </c>
      <c r="CQ24" s="9">
        <f t="shared" si="186"/>
        <v>0.88</v>
      </c>
      <c r="CR24" s="9">
        <f t="shared" si="186"/>
        <v>4.77</v>
      </c>
      <c r="CS24" s="9">
        <f t="shared" ref="CS24:CT24" si="187">IF(ISNUMBER(AF24),AF24,IFERROR(VALUE(SUBSTITUTE(SUBSTITUTE(SUBSTITUTE(SUBSTITUTE(SUBSTITUTE(AF24,"(","-"),")",""),"%",""),",","")," ","")),"" ))</f>
        <v>64.09</v>
      </c>
      <c r="CT24" s="9">
        <f t="shared" si="187"/>
        <v>0</v>
      </c>
      <c r="CU24" s="9">
        <f t="shared" si="60"/>
        <v>24587</v>
      </c>
      <c r="CV24" s="9">
        <f t="shared" si="61"/>
        <v>-4.26</v>
      </c>
      <c r="CW24" s="9">
        <f t="shared" ref="CW24:DA24" si="188">IF(ISNUMBER(W24),W24,IFERROR(VALUE(SUBSTITUTE(SUBSTITUTE(SUBSTITUTE(SUBSTITUTE(W24,"(","-"),")",""),",","")," ","")),"" ))</f>
        <v>324.04</v>
      </c>
      <c r="CX24" s="9">
        <f t="shared" si="188"/>
        <v>316.74</v>
      </c>
      <c r="CY24" s="9">
        <f t="shared" si="188"/>
        <v>368.4</v>
      </c>
      <c r="CZ24" s="9">
        <f t="shared" si="188"/>
        <v>213.64</v>
      </c>
      <c r="DA24" s="9">
        <f t="shared" si="188"/>
        <v>199.9</v>
      </c>
    </row>
    <row r="25" ht="15.75" customHeight="1">
      <c r="A25" s="33">
        <v>24.0</v>
      </c>
      <c r="B25" s="34" t="s">
        <v>143</v>
      </c>
      <c r="C25" s="12" t="s">
        <v>67</v>
      </c>
      <c r="D25" s="13" t="s">
        <v>144</v>
      </c>
      <c r="E25" s="35" t="s">
        <v>145</v>
      </c>
      <c r="F25" s="36">
        <v>137.97</v>
      </c>
      <c r="G25" s="36">
        <v>266070.93</v>
      </c>
      <c r="H25" s="36">
        <v>23.23</v>
      </c>
      <c r="I25" s="36">
        <v>24.02</v>
      </c>
      <c r="J25" s="36">
        <v>4.55</v>
      </c>
      <c r="K25" s="36">
        <v>2.36</v>
      </c>
      <c r="L25" s="36">
        <v>13.8</v>
      </c>
      <c r="M25" s="36">
        <v>22.54</v>
      </c>
      <c r="N25" s="36">
        <v>26.1</v>
      </c>
      <c r="O25" s="36">
        <v>12.46</v>
      </c>
      <c r="P25" s="36">
        <v>4.0</v>
      </c>
      <c r="Q25" s="36">
        <v>5.77</v>
      </c>
      <c r="R25" s="36">
        <v>7.0</v>
      </c>
      <c r="S25" s="36">
        <v>0.83</v>
      </c>
      <c r="T25" s="36">
        <v>2.8511858E7</v>
      </c>
      <c r="U25" s="36">
        <v>1.9594345E7</v>
      </c>
      <c r="V25" s="36">
        <v>13.33</v>
      </c>
      <c r="W25" s="36">
        <v>143.28</v>
      </c>
      <c r="X25" s="36">
        <v>135.84</v>
      </c>
      <c r="Y25" s="36">
        <v>61348.87</v>
      </c>
      <c r="Z25" s="36">
        <v>36919.29</v>
      </c>
      <c r="AA25" s="36">
        <v>26713.17</v>
      </c>
      <c r="AB25" s="36">
        <v>29.88</v>
      </c>
      <c r="AC25" s="36">
        <v>5.54</v>
      </c>
      <c r="AD25" s="36">
        <v>1.39</v>
      </c>
      <c r="AE25" s="36">
        <v>5.03</v>
      </c>
      <c r="AF25" s="36">
        <v>74.96</v>
      </c>
      <c r="AG25" s="36">
        <v>1.81</v>
      </c>
      <c r="AH25" s="38">
        <f t="shared" si="7"/>
        <v>0.967110741</v>
      </c>
      <c r="AI25" s="38">
        <f t="shared" si="8"/>
        <v>1.927966102</v>
      </c>
      <c r="AJ25" s="38">
        <f t="shared" si="9"/>
        <v>1.015680212</v>
      </c>
      <c r="AK25" s="38">
        <f t="shared" si="10"/>
        <v>0.2305733663</v>
      </c>
      <c r="AL25" s="38">
        <f t="shared" si="11"/>
        <v>0.1387573231</v>
      </c>
      <c r="AM25" s="38">
        <f t="shared" si="12"/>
        <v>0.1003986794</v>
      </c>
      <c r="AN25" s="38">
        <f t="shared" si="13"/>
        <v>0.436</v>
      </c>
      <c r="AO25" s="38">
        <f t="shared" si="14"/>
        <v>0.269</v>
      </c>
      <c r="AP25" s="38">
        <f t="shared" si="15"/>
        <v>0.308</v>
      </c>
      <c r="AQ25" s="38">
        <f t="shared" si="16"/>
        <v>0.346</v>
      </c>
      <c r="AR25" s="38">
        <f t="shared" si="17"/>
        <v>0.436</v>
      </c>
      <c r="AS25" s="38">
        <f t="shared" si="18"/>
        <v>0.397</v>
      </c>
      <c r="AT25" s="38">
        <f t="shared" si="19"/>
        <v>0.141</v>
      </c>
      <c r="AU25" s="38">
        <f t="shared" si="20"/>
        <v>0.3468</v>
      </c>
      <c r="AV25" s="38">
        <f t="shared" si="21"/>
        <v>0.705</v>
      </c>
      <c r="AW25" s="38">
        <f t="shared" si="22"/>
        <v>0.821</v>
      </c>
      <c r="AX25" s="38">
        <f t="shared" si="23"/>
        <v>0.679</v>
      </c>
      <c r="AY25" s="38">
        <f t="shared" si="24"/>
        <v>0.256</v>
      </c>
      <c r="AZ25" s="38">
        <f t="shared" si="25"/>
        <v>0.308</v>
      </c>
      <c r="BA25" s="38">
        <f t="shared" si="26"/>
        <v>0.53395</v>
      </c>
      <c r="BB25" s="38">
        <f t="shared" si="27"/>
        <v>0.141</v>
      </c>
      <c r="BC25" s="38">
        <f t="shared" si="28"/>
        <v>0.308</v>
      </c>
      <c r="BD25" s="38">
        <f t="shared" si="29"/>
        <v>0.513</v>
      </c>
      <c r="BE25" s="38">
        <f t="shared" si="30"/>
        <v>0.333</v>
      </c>
      <c r="BF25" s="38">
        <f t="shared" si="31"/>
        <v>0.026</v>
      </c>
      <c r="BG25" s="38">
        <f t="shared" si="32"/>
        <v>0.91</v>
      </c>
      <c r="BH25" s="38">
        <f t="shared" si="33"/>
        <v>0.31665</v>
      </c>
      <c r="BI25" s="38">
        <f t="shared" si="34"/>
        <v>0.603</v>
      </c>
      <c r="BJ25" s="38">
        <f t="shared" si="35"/>
        <v>0.859</v>
      </c>
      <c r="BK25" s="38">
        <f t="shared" si="36"/>
        <v>0.359</v>
      </c>
      <c r="BL25" s="38">
        <f t="shared" si="37"/>
        <v>0.4080625</v>
      </c>
      <c r="BM25" s="38">
        <f t="shared" si="38"/>
        <v>0.615</v>
      </c>
      <c r="BN25" s="39">
        <f t="shared" si="39"/>
        <v>1</v>
      </c>
      <c r="BO25" s="38">
        <f t="shared" si="40"/>
        <v>0.8075</v>
      </c>
      <c r="BP25" s="38">
        <f t="shared" si="41"/>
        <v>1</v>
      </c>
      <c r="BQ25" s="38">
        <f t="shared" si="42"/>
        <v>0.44</v>
      </c>
      <c r="BR25" s="40" t="str">
        <f t="shared" si="43"/>
        <v>High</v>
      </c>
      <c r="BS25" s="38">
        <f t="shared" si="44"/>
        <v>0.441453125</v>
      </c>
      <c r="BT25" s="40" t="str">
        <f t="shared" si="45"/>
        <v>Y</v>
      </c>
      <c r="BU25" s="40" t="str">
        <f t="shared" si="46"/>
        <v>Y</v>
      </c>
      <c r="BV25" s="40" t="str">
        <f t="shared" si="47"/>
        <v>Y</v>
      </c>
      <c r="BW25" s="40" t="str">
        <f t="shared" si="48"/>
        <v>Y</v>
      </c>
      <c r="BX25" s="40" t="str">
        <f t="shared" si="49"/>
        <v>Y</v>
      </c>
      <c r="BY25" s="39">
        <f t="shared" si="50"/>
        <v>25</v>
      </c>
      <c r="BZ25" s="41">
        <f t="shared" si="51"/>
        <v>0.04</v>
      </c>
      <c r="CA25" s="12">
        <f t="shared" ref="CA25:CG25" si="189">IF(ISNUMBER(F25),F25,IFERROR(VALUE(SUBSTITUTE(SUBSTITUTE(SUBSTITUTE(SUBSTITUTE(F25,"(","-"),")",""),",","")," ","")),"" ))</f>
        <v>137.97</v>
      </c>
      <c r="CB25" s="12">
        <f t="shared" si="189"/>
        <v>266070.93</v>
      </c>
      <c r="CC25" s="12">
        <f t="shared" si="189"/>
        <v>23.23</v>
      </c>
      <c r="CD25" s="12">
        <f t="shared" si="189"/>
        <v>24.02</v>
      </c>
      <c r="CE25" s="12">
        <f t="shared" si="189"/>
        <v>4.55</v>
      </c>
      <c r="CF25" s="12">
        <f t="shared" si="189"/>
        <v>2.36</v>
      </c>
      <c r="CG25" s="12">
        <f t="shared" si="189"/>
        <v>13.8</v>
      </c>
      <c r="CH25" s="12">
        <f t="shared" si="53"/>
        <v>29.88</v>
      </c>
      <c r="CI25" s="12">
        <f t="shared" ref="CI25:CK25" si="190">IF(ISNUMBER(M25),M25,IFERROR(VALUE(SUBSTITUTE(SUBSTITUTE(SUBSTITUTE(SUBSTITUTE(SUBSTITUTE(M25,"(","-"),")",""),"%",""),",","")," ","")),"" ))</f>
        <v>22.54</v>
      </c>
      <c r="CJ25" s="12">
        <f t="shared" si="190"/>
        <v>26.1</v>
      </c>
      <c r="CK25" s="12">
        <f t="shared" si="190"/>
        <v>12.46</v>
      </c>
      <c r="CL25" s="12">
        <f t="shared" si="55"/>
        <v>4</v>
      </c>
      <c r="CM25" s="12">
        <f t="shared" si="56"/>
        <v>5.77</v>
      </c>
      <c r="CN25" s="12">
        <f t="shared" ref="CN25:CO25" si="191">IF(ISNUMBER(R25),R25,IFERROR(VALUE(SUBSTITUTE(SUBSTITUTE(SUBSTITUTE(SUBSTITUTE(R25,"(","-"),")",""),",","")," ","")),"" ))</f>
        <v>7</v>
      </c>
      <c r="CO25" s="12">
        <f t="shared" si="191"/>
        <v>0.83</v>
      </c>
      <c r="CP25" s="12">
        <f t="shared" ref="CP25:CR25" si="192">IF(ISNUMBER(AC25),AC25,IFERROR(VALUE(SUBSTITUTE(SUBSTITUTE(SUBSTITUTE(SUBSTITUTE(AC25,"(","-"),")",""),",","")," ","")),"" ))</f>
        <v>5.54</v>
      </c>
      <c r="CQ25" s="12">
        <f t="shared" si="192"/>
        <v>1.39</v>
      </c>
      <c r="CR25" s="12">
        <f t="shared" si="192"/>
        <v>5.03</v>
      </c>
      <c r="CS25" s="12">
        <f t="shared" ref="CS25:CT25" si="193">IF(ISNUMBER(AF25),AF25,IFERROR(VALUE(SUBSTITUTE(SUBSTITUTE(SUBSTITUTE(SUBSTITUTE(SUBSTITUTE(AF25,"(","-"),")",""),"%",""),",","")," ","")),"" ))</f>
        <v>74.96</v>
      </c>
      <c r="CT25" s="12">
        <f t="shared" si="193"/>
        <v>1.81</v>
      </c>
      <c r="CU25" s="12">
        <f t="shared" si="60"/>
        <v>19594345</v>
      </c>
      <c r="CV25" s="12">
        <f t="shared" si="61"/>
        <v>13.33</v>
      </c>
      <c r="CW25" s="12">
        <f t="shared" ref="CW25:DA25" si="194">IF(ISNUMBER(W25),W25,IFERROR(VALUE(SUBSTITUTE(SUBSTITUTE(SUBSTITUTE(SUBSTITUTE(W25,"(","-"),")",""),",","")," ","")),"" ))</f>
        <v>143.28</v>
      </c>
      <c r="CX25" s="12">
        <f t="shared" si="194"/>
        <v>135.84</v>
      </c>
      <c r="CY25" s="12">
        <f t="shared" si="194"/>
        <v>61348.87</v>
      </c>
      <c r="CZ25" s="12">
        <f t="shared" si="194"/>
        <v>36919.29</v>
      </c>
      <c r="DA25" s="12">
        <f t="shared" si="194"/>
        <v>26713.17</v>
      </c>
    </row>
    <row r="26" ht="15.75" customHeight="1">
      <c r="A26" s="25">
        <v>25.0</v>
      </c>
      <c r="B26" s="26" t="s">
        <v>327</v>
      </c>
      <c r="C26" s="9" t="s">
        <v>46</v>
      </c>
      <c r="D26" s="10" t="s">
        <v>328</v>
      </c>
      <c r="E26" s="27" t="s">
        <v>329</v>
      </c>
      <c r="F26" s="28">
        <v>2006.8</v>
      </c>
      <c r="G26" s="28">
        <v>3032.27</v>
      </c>
      <c r="H26" s="28">
        <v>18.38</v>
      </c>
      <c r="I26" s="28">
        <v>27.29</v>
      </c>
      <c r="J26" s="28">
        <v>3.01</v>
      </c>
      <c r="K26" s="28">
        <v>3.26</v>
      </c>
      <c r="L26" s="28">
        <v>11.75</v>
      </c>
      <c r="M26" s="28">
        <v>22.32</v>
      </c>
      <c r="N26" s="28">
        <v>16.58</v>
      </c>
      <c r="O26" s="28">
        <v>11.91</v>
      </c>
      <c r="P26" s="28">
        <v>6.0</v>
      </c>
      <c r="Q26" s="28">
        <v>7.36</v>
      </c>
      <c r="R26" s="28">
        <v>6.0</v>
      </c>
      <c r="S26" s="28">
        <v>0.01</v>
      </c>
      <c r="T26" s="28">
        <v>17812.0</v>
      </c>
      <c r="U26" s="28">
        <v>13364.0</v>
      </c>
      <c r="V26" s="28">
        <v>15.79</v>
      </c>
      <c r="W26" s="28">
        <v>1943.47</v>
      </c>
      <c r="X26" s="28">
        <v>1833.05</v>
      </c>
      <c r="Y26" s="28">
        <v>532.0</v>
      </c>
      <c r="Z26" s="28">
        <v>427.52</v>
      </c>
      <c r="AA26" s="28">
        <v>391.85</v>
      </c>
      <c r="AB26" s="28">
        <v>23.2</v>
      </c>
      <c r="AC26" s="28">
        <v>125.32</v>
      </c>
      <c r="AD26" s="28">
        <v>2.76</v>
      </c>
      <c r="AE26" s="28">
        <v>7.52</v>
      </c>
      <c r="AF26" s="28">
        <v>71.04</v>
      </c>
      <c r="AG26" s="28">
        <v>0.0</v>
      </c>
      <c r="AH26" s="29">
        <f t="shared" si="7"/>
        <v>0.673506779</v>
      </c>
      <c r="AI26" s="29">
        <f t="shared" si="8"/>
        <v>0.9233128834</v>
      </c>
      <c r="AJ26" s="29">
        <f t="shared" si="9"/>
        <v>1.094787376</v>
      </c>
      <c r="AK26" s="29">
        <f t="shared" si="10"/>
        <v>0.1754461179</v>
      </c>
      <c r="AL26" s="29">
        <f t="shared" si="11"/>
        <v>0.1409900833</v>
      </c>
      <c r="AM26" s="29">
        <f t="shared" si="12"/>
        <v>0.129226619</v>
      </c>
      <c r="AN26" s="29">
        <f t="shared" si="13"/>
        <v>0.641</v>
      </c>
      <c r="AO26" s="29">
        <f t="shared" si="14"/>
        <v>0.641</v>
      </c>
      <c r="AP26" s="29">
        <f t="shared" si="15"/>
        <v>0.564</v>
      </c>
      <c r="AQ26" s="29">
        <f t="shared" si="16"/>
        <v>0.654</v>
      </c>
      <c r="AR26" s="29">
        <f t="shared" si="17"/>
        <v>0.654</v>
      </c>
      <c r="AS26" s="29">
        <f t="shared" si="18"/>
        <v>0.744</v>
      </c>
      <c r="AT26" s="29">
        <f t="shared" si="19"/>
        <v>0.744</v>
      </c>
      <c r="AU26" s="29">
        <f t="shared" si="20"/>
        <v>0.64495</v>
      </c>
      <c r="AV26" s="29">
        <f t="shared" si="21"/>
        <v>0.692</v>
      </c>
      <c r="AW26" s="29">
        <f t="shared" si="22"/>
        <v>0.5</v>
      </c>
      <c r="AX26" s="29">
        <f t="shared" si="23"/>
        <v>0.641</v>
      </c>
      <c r="AY26" s="29">
        <f t="shared" si="24"/>
        <v>0</v>
      </c>
      <c r="AZ26" s="29">
        <f t="shared" si="25"/>
        <v>0.756</v>
      </c>
      <c r="BA26" s="29">
        <f t="shared" si="26"/>
        <v>0.4883</v>
      </c>
      <c r="BB26" s="29">
        <f t="shared" si="27"/>
        <v>0.897</v>
      </c>
      <c r="BC26" s="29">
        <f t="shared" si="28"/>
        <v>0.897</v>
      </c>
      <c r="BD26" s="29">
        <f t="shared" si="29"/>
        <v>0.821</v>
      </c>
      <c r="BE26" s="29">
        <f t="shared" si="30"/>
        <v>0.756</v>
      </c>
      <c r="BF26" s="29">
        <f t="shared" si="31"/>
        <v>1</v>
      </c>
      <c r="BG26" s="29">
        <f t="shared" si="32"/>
        <v>0.756</v>
      </c>
      <c r="BH26" s="29">
        <f t="shared" si="33"/>
        <v>0.85035</v>
      </c>
      <c r="BI26" s="29">
        <f t="shared" si="34"/>
        <v>0.256</v>
      </c>
      <c r="BJ26" s="29">
        <f t="shared" si="35"/>
        <v>0.256</v>
      </c>
      <c r="BK26" s="29">
        <f t="shared" si="36"/>
        <v>0.667</v>
      </c>
      <c r="BL26" s="29">
        <f t="shared" si="37"/>
        <v>0.8771875</v>
      </c>
      <c r="BM26" s="29">
        <f t="shared" si="38"/>
        <v>0.692</v>
      </c>
      <c r="BN26" s="30">
        <f t="shared" si="39"/>
        <v>1</v>
      </c>
      <c r="BO26" s="29">
        <f t="shared" si="40"/>
        <v>0.846</v>
      </c>
      <c r="BP26" s="29">
        <f t="shared" si="41"/>
        <v>0.038</v>
      </c>
      <c r="BQ26" s="29">
        <f t="shared" si="42"/>
        <v>0.4015</v>
      </c>
      <c r="BR26" s="31" t="str">
        <f t="shared" si="43"/>
        <v>High</v>
      </c>
      <c r="BS26" s="29">
        <f t="shared" si="44"/>
        <v>0.592509375</v>
      </c>
      <c r="BT26" s="31" t="str">
        <f t="shared" si="45"/>
        <v>N</v>
      </c>
      <c r="BU26" s="31" t="str">
        <f t="shared" si="46"/>
        <v>Y</v>
      </c>
      <c r="BV26" s="31" t="str">
        <f t="shared" si="47"/>
        <v>Y</v>
      </c>
      <c r="BW26" s="31" t="str">
        <f t="shared" si="48"/>
        <v>Y</v>
      </c>
      <c r="BX26" s="31" t="str">
        <f t="shared" si="49"/>
        <v>N</v>
      </c>
      <c r="BY26" s="30" t="str">
        <f t="shared" si="50"/>
        <v/>
      </c>
      <c r="BZ26" s="32" t="str">
        <f t="shared" si="51"/>
        <v/>
      </c>
      <c r="CA26" s="9">
        <f t="shared" ref="CA26:CG26" si="195">IF(ISNUMBER(F26),F26,IFERROR(VALUE(SUBSTITUTE(SUBSTITUTE(SUBSTITUTE(SUBSTITUTE(F26,"(","-"),")",""),",","")," ","")),"" ))</f>
        <v>2006.8</v>
      </c>
      <c r="CB26" s="9">
        <f t="shared" si="195"/>
        <v>3032.27</v>
      </c>
      <c r="CC26" s="9">
        <f t="shared" si="195"/>
        <v>18.38</v>
      </c>
      <c r="CD26" s="9">
        <f t="shared" si="195"/>
        <v>27.29</v>
      </c>
      <c r="CE26" s="9">
        <f t="shared" si="195"/>
        <v>3.01</v>
      </c>
      <c r="CF26" s="9">
        <f t="shared" si="195"/>
        <v>3.26</v>
      </c>
      <c r="CG26" s="9">
        <f t="shared" si="195"/>
        <v>11.75</v>
      </c>
      <c r="CH26" s="9">
        <f t="shared" si="53"/>
        <v>23.2</v>
      </c>
      <c r="CI26" s="9">
        <f t="shared" ref="CI26:CK26" si="196">IF(ISNUMBER(M26),M26,IFERROR(VALUE(SUBSTITUTE(SUBSTITUTE(SUBSTITUTE(SUBSTITUTE(SUBSTITUTE(M26,"(","-"),")",""),"%",""),",","")," ","")),"" ))</f>
        <v>22.32</v>
      </c>
      <c r="CJ26" s="9">
        <f t="shared" si="196"/>
        <v>16.58</v>
      </c>
      <c r="CK26" s="9">
        <f t="shared" si="196"/>
        <v>11.91</v>
      </c>
      <c r="CL26" s="9">
        <f t="shared" si="55"/>
        <v>6</v>
      </c>
      <c r="CM26" s="9">
        <f t="shared" si="56"/>
        <v>7.36</v>
      </c>
      <c r="CN26" s="9">
        <f t="shared" ref="CN26:CO26" si="197">IF(ISNUMBER(R26),R26,IFERROR(VALUE(SUBSTITUTE(SUBSTITUTE(SUBSTITUTE(SUBSTITUTE(R26,"(","-"),")",""),",","")," ","")),"" ))</f>
        <v>6</v>
      </c>
      <c r="CO26" s="9">
        <f t="shared" si="197"/>
        <v>0.01</v>
      </c>
      <c r="CP26" s="9">
        <f t="shared" ref="CP26:CR26" si="198">IF(ISNUMBER(AC26),AC26,IFERROR(VALUE(SUBSTITUTE(SUBSTITUTE(SUBSTITUTE(SUBSTITUTE(AC26,"(","-"),")",""),",","")," ","")),"" ))</f>
        <v>125.32</v>
      </c>
      <c r="CQ26" s="9">
        <f t="shared" si="198"/>
        <v>2.76</v>
      </c>
      <c r="CR26" s="9">
        <f t="shared" si="198"/>
        <v>7.52</v>
      </c>
      <c r="CS26" s="9">
        <f t="shared" ref="CS26:CT26" si="199">IF(ISNUMBER(AF26),AF26,IFERROR(VALUE(SUBSTITUTE(SUBSTITUTE(SUBSTITUTE(SUBSTITUTE(SUBSTITUTE(AF26,"(","-"),")",""),"%",""),",","")," ","")),"" ))</f>
        <v>71.04</v>
      </c>
      <c r="CT26" s="9">
        <f t="shared" si="199"/>
        <v>0</v>
      </c>
      <c r="CU26" s="9">
        <f t="shared" si="60"/>
        <v>13364</v>
      </c>
      <c r="CV26" s="9">
        <f t="shared" si="61"/>
        <v>15.79</v>
      </c>
      <c r="CW26" s="9">
        <f t="shared" ref="CW26:DA26" si="200">IF(ISNUMBER(W26),W26,IFERROR(VALUE(SUBSTITUTE(SUBSTITUTE(SUBSTITUTE(SUBSTITUTE(W26,"(","-"),")",""),",","")," ","")),"" ))</f>
        <v>1943.47</v>
      </c>
      <c r="CX26" s="9">
        <f t="shared" si="200"/>
        <v>1833.05</v>
      </c>
      <c r="CY26" s="9">
        <f t="shared" si="200"/>
        <v>532</v>
      </c>
      <c r="CZ26" s="9">
        <f t="shared" si="200"/>
        <v>427.52</v>
      </c>
      <c r="DA26" s="9">
        <f t="shared" si="200"/>
        <v>391.85</v>
      </c>
    </row>
    <row r="27" ht="15.75" customHeight="1">
      <c r="A27" s="33">
        <v>26.0</v>
      </c>
      <c r="B27" s="34" t="s">
        <v>113</v>
      </c>
      <c r="C27" s="12" t="s">
        <v>63</v>
      </c>
      <c r="D27" s="13" t="s">
        <v>114</v>
      </c>
      <c r="E27" s="35" t="s">
        <v>115</v>
      </c>
      <c r="F27" s="36">
        <v>506.5</v>
      </c>
      <c r="G27" s="36">
        <v>2879.53</v>
      </c>
      <c r="H27" s="36">
        <v>24.74</v>
      </c>
      <c r="I27" s="36">
        <v>27.29</v>
      </c>
      <c r="J27" s="36">
        <v>5.71</v>
      </c>
      <c r="K27" s="36">
        <v>3.26</v>
      </c>
      <c r="L27" s="36">
        <v>13.51</v>
      </c>
      <c r="M27" s="36">
        <v>21.84</v>
      </c>
      <c r="N27" s="36">
        <v>19.97</v>
      </c>
      <c r="O27" s="36">
        <v>7.88</v>
      </c>
      <c r="P27" s="36">
        <v>6.0</v>
      </c>
      <c r="Q27" s="36">
        <v>5.91</v>
      </c>
      <c r="R27" s="36">
        <v>8.0</v>
      </c>
      <c r="S27" s="36">
        <v>0.34</v>
      </c>
      <c r="T27" s="36">
        <v>83806.0</v>
      </c>
      <c r="U27" s="36">
        <v>161872.0</v>
      </c>
      <c r="V27" s="36">
        <v>14.85</v>
      </c>
      <c r="W27" s="36">
        <v>530.09</v>
      </c>
      <c r="X27" s="36">
        <v>504.59</v>
      </c>
      <c r="Y27" s="36">
        <v>418.24</v>
      </c>
      <c r="Z27" s="36">
        <v>679.79</v>
      </c>
      <c r="AA27" s="36">
        <v>629.81</v>
      </c>
      <c r="AB27" s="36">
        <v>13.73</v>
      </c>
      <c r="AC27" s="36">
        <v>8.79</v>
      </c>
      <c r="AD27" s="36">
        <v>0.89</v>
      </c>
      <c r="AE27" s="36">
        <v>6.97</v>
      </c>
      <c r="AF27" s="36">
        <v>68.77</v>
      </c>
      <c r="AG27" s="36">
        <v>0.0</v>
      </c>
      <c r="AH27" s="38">
        <f t="shared" si="7"/>
        <v>0.9065591792</v>
      </c>
      <c r="AI27" s="38">
        <f t="shared" si="8"/>
        <v>1.751533742</v>
      </c>
      <c r="AJ27" s="38">
        <f t="shared" si="9"/>
        <v>1.003785251</v>
      </c>
      <c r="AK27" s="38">
        <f t="shared" si="10"/>
        <v>0.1452459256</v>
      </c>
      <c r="AL27" s="38">
        <f t="shared" si="11"/>
        <v>0.2360767209</v>
      </c>
      <c r="AM27" s="38">
        <f t="shared" si="12"/>
        <v>0.2187197216</v>
      </c>
      <c r="AN27" s="38">
        <f t="shared" si="13"/>
        <v>0.333</v>
      </c>
      <c r="AO27" s="38">
        <f t="shared" si="14"/>
        <v>0.115</v>
      </c>
      <c r="AP27" s="38">
        <f t="shared" si="15"/>
        <v>0.372</v>
      </c>
      <c r="AQ27" s="38">
        <f t="shared" si="16"/>
        <v>0.385</v>
      </c>
      <c r="AR27" s="38">
        <f t="shared" si="17"/>
        <v>0.782</v>
      </c>
      <c r="AS27" s="38">
        <f t="shared" si="18"/>
        <v>0.449</v>
      </c>
      <c r="AT27" s="38">
        <f t="shared" si="19"/>
        <v>0.244</v>
      </c>
      <c r="AU27" s="38">
        <f t="shared" si="20"/>
        <v>0.385275</v>
      </c>
      <c r="AV27" s="38">
        <f t="shared" si="21"/>
        <v>0.679</v>
      </c>
      <c r="AW27" s="38">
        <f t="shared" si="22"/>
        <v>0.641</v>
      </c>
      <c r="AX27" s="38">
        <f t="shared" si="23"/>
        <v>0.346</v>
      </c>
      <c r="AY27" s="38">
        <f t="shared" si="24"/>
        <v>0.551</v>
      </c>
      <c r="AZ27" s="38">
        <f t="shared" si="25"/>
        <v>0.756</v>
      </c>
      <c r="BA27" s="38">
        <f t="shared" si="26"/>
        <v>0.6215</v>
      </c>
      <c r="BB27" s="38">
        <f t="shared" si="27"/>
        <v>0.423</v>
      </c>
      <c r="BC27" s="38">
        <f t="shared" si="28"/>
        <v>0.449</v>
      </c>
      <c r="BD27" s="38">
        <f t="shared" si="29"/>
        <v>0.256</v>
      </c>
      <c r="BE27" s="38">
        <f t="shared" si="30"/>
        <v>0.679</v>
      </c>
      <c r="BF27" s="38">
        <f t="shared" si="31"/>
        <v>1</v>
      </c>
      <c r="BG27" s="38">
        <f t="shared" si="32"/>
        <v>0.679</v>
      </c>
      <c r="BH27" s="38">
        <f t="shared" si="33"/>
        <v>0.5575</v>
      </c>
      <c r="BI27" s="38">
        <f t="shared" si="34"/>
        <v>0.551</v>
      </c>
      <c r="BJ27" s="38">
        <f t="shared" si="35"/>
        <v>0.756</v>
      </c>
      <c r="BK27" s="38">
        <f t="shared" si="36"/>
        <v>0.269</v>
      </c>
      <c r="BL27" s="38">
        <f t="shared" si="37"/>
        <v>0.777025</v>
      </c>
      <c r="BM27" s="38">
        <f t="shared" si="38"/>
        <v>0.679</v>
      </c>
      <c r="BN27" s="39">
        <f t="shared" si="39"/>
        <v>1</v>
      </c>
      <c r="BO27" s="38">
        <f t="shared" si="40"/>
        <v>0.8395</v>
      </c>
      <c r="BP27" s="38">
        <f t="shared" si="41"/>
        <v>0.346</v>
      </c>
      <c r="BQ27" s="38">
        <f t="shared" si="42"/>
        <v>0.5131</v>
      </c>
      <c r="BR27" s="40" t="str">
        <f t="shared" si="43"/>
        <v>High</v>
      </c>
      <c r="BS27" s="38">
        <f t="shared" si="44"/>
        <v>0.57905125</v>
      </c>
      <c r="BT27" s="40" t="str">
        <f t="shared" si="45"/>
        <v>Y</v>
      </c>
      <c r="BU27" s="40" t="str">
        <f t="shared" si="46"/>
        <v>Y</v>
      </c>
      <c r="BV27" s="40" t="str">
        <f t="shared" si="47"/>
        <v>Y</v>
      </c>
      <c r="BW27" s="40" t="str">
        <f t="shared" si="48"/>
        <v>Y</v>
      </c>
      <c r="BX27" s="40" t="str">
        <f t="shared" si="49"/>
        <v>Y</v>
      </c>
      <c r="BY27" s="39">
        <f t="shared" si="50"/>
        <v>6</v>
      </c>
      <c r="BZ27" s="41">
        <f t="shared" si="51"/>
        <v>0.04</v>
      </c>
      <c r="CA27" s="12">
        <f t="shared" ref="CA27:CG27" si="201">IF(ISNUMBER(F27),F27,IFERROR(VALUE(SUBSTITUTE(SUBSTITUTE(SUBSTITUTE(SUBSTITUTE(F27,"(","-"),")",""),",","")," ","")),"" ))</f>
        <v>506.5</v>
      </c>
      <c r="CB27" s="12">
        <f t="shared" si="201"/>
        <v>2879.53</v>
      </c>
      <c r="CC27" s="12">
        <f t="shared" si="201"/>
        <v>24.74</v>
      </c>
      <c r="CD27" s="12">
        <f t="shared" si="201"/>
        <v>27.29</v>
      </c>
      <c r="CE27" s="12">
        <f t="shared" si="201"/>
        <v>5.71</v>
      </c>
      <c r="CF27" s="12">
        <f t="shared" si="201"/>
        <v>3.26</v>
      </c>
      <c r="CG27" s="12">
        <f t="shared" si="201"/>
        <v>13.51</v>
      </c>
      <c r="CH27" s="12">
        <f t="shared" si="53"/>
        <v>13.73</v>
      </c>
      <c r="CI27" s="12">
        <f t="shared" ref="CI27:CK27" si="202">IF(ISNUMBER(M27),M27,IFERROR(VALUE(SUBSTITUTE(SUBSTITUTE(SUBSTITUTE(SUBSTITUTE(SUBSTITUTE(M27,"(","-"),")",""),"%",""),",","")," ","")),"" ))</f>
        <v>21.84</v>
      </c>
      <c r="CJ27" s="12">
        <f t="shared" si="202"/>
        <v>19.97</v>
      </c>
      <c r="CK27" s="12">
        <f t="shared" si="202"/>
        <v>7.88</v>
      </c>
      <c r="CL27" s="12">
        <f t="shared" si="55"/>
        <v>6</v>
      </c>
      <c r="CM27" s="12">
        <f t="shared" si="56"/>
        <v>5.91</v>
      </c>
      <c r="CN27" s="12">
        <f t="shared" ref="CN27:CO27" si="203">IF(ISNUMBER(R27),R27,IFERROR(VALUE(SUBSTITUTE(SUBSTITUTE(SUBSTITUTE(SUBSTITUTE(R27,"(","-"),")",""),",","")," ","")),"" ))</f>
        <v>8</v>
      </c>
      <c r="CO27" s="12">
        <f t="shared" si="203"/>
        <v>0.34</v>
      </c>
      <c r="CP27" s="12">
        <f t="shared" ref="CP27:CR27" si="204">IF(ISNUMBER(AC27),AC27,IFERROR(VALUE(SUBSTITUTE(SUBSTITUTE(SUBSTITUTE(SUBSTITUTE(AC27,"(","-"),")",""),",","")," ","")),"" ))</f>
        <v>8.79</v>
      </c>
      <c r="CQ27" s="12">
        <f t="shared" si="204"/>
        <v>0.89</v>
      </c>
      <c r="CR27" s="12">
        <f t="shared" si="204"/>
        <v>6.97</v>
      </c>
      <c r="CS27" s="12">
        <f t="shared" ref="CS27:CT27" si="205">IF(ISNUMBER(AF27),AF27,IFERROR(VALUE(SUBSTITUTE(SUBSTITUTE(SUBSTITUTE(SUBSTITUTE(SUBSTITUTE(AF27,"(","-"),")",""),"%",""),",","")," ","")),"" ))</f>
        <v>68.77</v>
      </c>
      <c r="CT27" s="12">
        <f t="shared" si="205"/>
        <v>0</v>
      </c>
      <c r="CU27" s="12">
        <f t="shared" si="60"/>
        <v>161872</v>
      </c>
      <c r="CV27" s="12">
        <f t="shared" si="61"/>
        <v>14.85</v>
      </c>
      <c r="CW27" s="12">
        <f t="shared" ref="CW27:DA27" si="206">IF(ISNUMBER(W27),W27,IFERROR(VALUE(SUBSTITUTE(SUBSTITUTE(SUBSTITUTE(SUBSTITUTE(W27,"(","-"),")",""),",","")," ","")),"" ))</f>
        <v>530.09</v>
      </c>
      <c r="CX27" s="12">
        <f t="shared" si="206"/>
        <v>504.59</v>
      </c>
      <c r="CY27" s="12">
        <f t="shared" si="206"/>
        <v>418.24</v>
      </c>
      <c r="CZ27" s="12">
        <f t="shared" si="206"/>
        <v>679.79</v>
      </c>
      <c r="DA27" s="12">
        <f t="shared" si="206"/>
        <v>629.81</v>
      </c>
    </row>
    <row r="28" ht="15.75" customHeight="1">
      <c r="A28" s="25">
        <v>27.0</v>
      </c>
      <c r="B28" s="26" t="s">
        <v>166</v>
      </c>
      <c r="C28" s="9" t="s">
        <v>38</v>
      </c>
      <c r="D28" s="10" t="s">
        <v>167</v>
      </c>
      <c r="E28" s="27" t="s">
        <v>168</v>
      </c>
      <c r="F28" s="28">
        <v>472.15</v>
      </c>
      <c r="G28" s="28">
        <v>2858.99</v>
      </c>
      <c r="H28" s="28">
        <v>22.0</v>
      </c>
      <c r="I28" s="28">
        <v>18.44</v>
      </c>
      <c r="J28" s="28">
        <v>6.43</v>
      </c>
      <c r="K28" s="28">
        <v>1.97</v>
      </c>
      <c r="L28" s="28">
        <v>11.51</v>
      </c>
      <c r="M28" s="28">
        <v>21.74</v>
      </c>
      <c r="N28" s="28">
        <v>25.29</v>
      </c>
      <c r="O28" s="28">
        <v>9.2</v>
      </c>
      <c r="P28" s="28">
        <v>4.0</v>
      </c>
      <c r="Q28" s="28">
        <v>7.66</v>
      </c>
      <c r="R28" s="28">
        <v>8.0</v>
      </c>
      <c r="S28" s="28">
        <v>0.93</v>
      </c>
      <c r="T28" s="28">
        <v>66645.0</v>
      </c>
      <c r="U28" s="28">
        <v>183049.0</v>
      </c>
      <c r="V28" s="28">
        <v>-18.11</v>
      </c>
      <c r="W28" s="28">
        <v>502.33</v>
      </c>
      <c r="X28" s="28">
        <v>472.96</v>
      </c>
      <c r="Y28" s="28">
        <v>42.8</v>
      </c>
      <c r="Z28" s="28">
        <v>-334.14</v>
      </c>
      <c r="AA28" s="28">
        <v>-231.44</v>
      </c>
      <c r="AB28" s="28">
        <v>-37.09</v>
      </c>
      <c r="AC28" s="28">
        <v>7.46</v>
      </c>
      <c r="AD28" s="28">
        <v>0.97</v>
      </c>
      <c r="AE28" s="28">
        <v>6.64</v>
      </c>
      <c r="AF28" s="28">
        <v>72.26</v>
      </c>
      <c r="AG28" s="28">
        <v>0.0</v>
      </c>
      <c r="AH28" s="29">
        <f t="shared" si="7"/>
        <v>1.193058568</v>
      </c>
      <c r="AI28" s="29">
        <f t="shared" si="8"/>
        <v>3.263959391</v>
      </c>
      <c r="AJ28" s="29">
        <f t="shared" si="9"/>
        <v>0.9982873816</v>
      </c>
      <c r="AK28" s="29">
        <f t="shared" si="10"/>
        <v>0.01497032169</v>
      </c>
      <c r="AL28" s="29">
        <f t="shared" si="11"/>
        <v>-0.1168734413</v>
      </c>
      <c r="AM28" s="29">
        <f t="shared" si="12"/>
        <v>-0.08095166475</v>
      </c>
      <c r="AN28" s="29">
        <f t="shared" si="13"/>
        <v>0.5</v>
      </c>
      <c r="AO28" s="29">
        <f t="shared" si="14"/>
        <v>0.064</v>
      </c>
      <c r="AP28" s="29">
        <f t="shared" si="15"/>
        <v>0.603</v>
      </c>
      <c r="AQ28" s="29">
        <f t="shared" si="16"/>
        <v>0.705</v>
      </c>
      <c r="AR28" s="29" t="str">
        <f t="shared" si="17"/>
        <v/>
      </c>
      <c r="AS28" s="29">
        <f t="shared" si="18"/>
        <v>0.179</v>
      </c>
      <c r="AT28" s="29">
        <f t="shared" si="19"/>
        <v>0</v>
      </c>
      <c r="AU28" s="29">
        <f t="shared" si="20"/>
        <v>0.4110294118</v>
      </c>
      <c r="AV28" s="29">
        <f t="shared" si="21"/>
        <v>0.667</v>
      </c>
      <c r="AW28" s="29">
        <f t="shared" si="22"/>
        <v>0.808</v>
      </c>
      <c r="AX28" s="29">
        <f t="shared" si="23"/>
        <v>0.5</v>
      </c>
      <c r="AY28" s="29">
        <f t="shared" si="24"/>
        <v>0.551</v>
      </c>
      <c r="AZ28" s="29">
        <f t="shared" si="25"/>
        <v>0.308</v>
      </c>
      <c r="BA28" s="29">
        <f t="shared" si="26"/>
        <v>0.5777</v>
      </c>
      <c r="BB28" s="29">
        <f t="shared" si="27"/>
        <v>0.103</v>
      </c>
      <c r="BC28" s="29">
        <f t="shared" si="28"/>
        <v>0.397</v>
      </c>
      <c r="BD28" s="29">
        <f t="shared" si="29"/>
        <v>0.295</v>
      </c>
      <c r="BE28" s="29">
        <f t="shared" si="30"/>
        <v>0.615</v>
      </c>
      <c r="BF28" s="29">
        <f t="shared" si="31"/>
        <v>1</v>
      </c>
      <c r="BG28" s="29">
        <f t="shared" si="32"/>
        <v>0.782</v>
      </c>
      <c r="BH28" s="29">
        <f t="shared" si="33"/>
        <v>0.4519</v>
      </c>
      <c r="BI28" s="29">
        <f t="shared" si="34"/>
        <v>0.821</v>
      </c>
      <c r="BJ28" s="29">
        <f t="shared" si="35"/>
        <v>1</v>
      </c>
      <c r="BK28" s="29">
        <f t="shared" si="36"/>
        <v>0.256</v>
      </c>
      <c r="BL28" s="29">
        <f t="shared" si="37"/>
        <v>0.786675</v>
      </c>
      <c r="BM28" s="29">
        <f t="shared" si="38"/>
        <v>0</v>
      </c>
      <c r="BN28" s="30">
        <f t="shared" si="39"/>
        <v>1</v>
      </c>
      <c r="BO28" s="29">
        <f t="shared" si="40"/>
        <v>0.5</v>
      </c>
      <c r="BP28" s="29">
        <f t="shared" si="41"/>
        <v>0.385</v>
      </c>
      <c r="BQ28" s="29">
        <f t="shared" si="42"/>
        <v>0.4013</v>
      </c>
      <c r="BR28" s="31" t="str">
        <f t="shared" si="43"/>
        <v>High</v>
      </c>
      <c r="BS28" s="29" t="str">
        <f t="shared" si="44"/>
        <v/>
      </c>
      <c r="BT28" s="31" t="str">
        <f t="shared" si="45"/>
        <v>Y</v>
      </c>
      <c r="BU28" s="31" t="str">
        <f t="shared" si="46"/>
        <v>Y</v>
      </c>
      <c r="BV28" s="31" t="str">
        <f t="shared" si="47"/>
        <v>Y</v>
      </c>
      <c r="BW28" s="31" t="str">
        <f t="shared" si="48"/>
        <v>Y</v>
      </c>
      <c r="BX28" s="31" t="str">
        <f t="shared" si="49"/>
        <v>Y</v>
      </c>
      <c r="BY28" s="30">
        <f t="shared" si="50"/>
        <v>1</v>
      </c>
      <c r="BZ28" s="32">
        <f t="shared" si="51"/>
        <v>0.04</v>
      </c>
      <c r="CA28" s="9">
        <f t="shared" ref="CA28:CG28" si="207">IF(ISNUMBER(F28),F28,IFERROR(VALUE(SUBSTITUTE(SUBSTITUTE(SUBSTITUTE(SUBSTITUTE(F28,"(","-"),")",""),",","")," ","")),"" ))</f>
        <v>472.15</v>
      </c>
      <c r="CB28" s="9">
        <f t="shared" si="207"/>
        <v>2858.99</v>
      </c>
      <c r="CC28" s="9">
        <f t="shared" si="207"/>
        <v>22</v>
      </c>
      <c r="CD28" s="9">
        <f t="shared" si="207"/>
        <v>18.44</v>
      </c>
      <c r="CE28" s="9">
        <f t="shared" si="207"/>
        <v>6.43</v>
      </c>
      <c r="CF28" s="9">
        <f t="shared" si="207"/>
        <v>1.97</v>
      </c>
      <c r="CG28" s="9">
        <f t="shared" si="207"/>
        <v>11.51</v>
      </c>
      <c r="CH28" s="9">
        <f t="shared" si="53"/>
        <v>-37.09</v>
      </c>
      <c r="CI28" s="9">
        <f t="shared" ref="CI28:CK28" si="208">IF(ISNUMBER(M28),M28,IFERROR(VALUE(SUBSTITUTE(SUBSTITUTE(SUBSTITUTE(SUBSTITUTE(SUBSTITUTE(M28,"(","-"),")",""),"%",""),",","")," ","")),"" ))</f>
        <v>21.74</v>
      </c>
      <c r="CJ28" s="9">
        <f t="shared" si="208"/>
        <v>25.29</v>
      </c>
      <c r="CK28" s="9">
        <f t="shared" si="208"/>
        <v>9.2</v>
      </c>
      <c r="CL28" s="9">
        <f t="shared" si="55"/>
        <v>4</v>
      </c>
      <c r="CM28" s="9">
        <f t="shared" si="56"/>
        <v>7.66</v>
      </c>
      <c r="CN28" s="9">
        <f t="shared" ref="CN28:CO28" si="209">IF(ISNUMBER(R28),R28,IFERROR(VALUE(SUBSTITUTE(SUBSTITUTE(SUBSTITUTE(SUBSTITUTE(R28,"(","-"),")",""),",","")," ","")),"" ))</f>
        <v>8</v>
      </c>
      <c r="CO28" s="9">
        <f t="shared" si="209"/>
        <v>0.93</v>
      </c>
      <c r="CP28" s="9">
        <f t="shared" ref="CP28:CR28" si="210">IF(ISNUMBER(AC28),AC28,IFERROR(VALUE(SUBSTITUTE(SUBSTITUTE(SUBSTITUTE(SUBSTITUTE(AC28,"(","-"),")",""),",","")," ","")),"" ))</f>
        <v>7.46</v>
      </c>
      <c r="CQ28" s="9">
        <f t="shared" si="210"/>
        <v>0.97</v>
      </c>
      <c r="CR28" s="9">
        <f t="shared" si="210"/>
        <v>6.64</v>
      </c>
      <c r="CS28" s="9">
        <f t="shared" ref="CS28:CT28" si="211">IF(ISNUMBER(AF28),AF28,IFERROR(VALUE(SUBSTITUTE(SUBSTITUTE(SUBSTITUTE(SUBSTITUTE(SUBSTITUTE(AF28,"(","-"),")",""),"%",""),",","")," ","")),"" ))</f>
        <v>72.26</v>
      </c>
      <c r="CT28" s="9">
        <f t="shared" si="211"/>
        <v>0</v>
      </c>
      <c r="CU28" s="9">
        <f t="shared" si="60"/>
        <v>183049</v>
      </c>
      <c r="CV28" s="9">
        <f t="shared" si="61"/>
        <v>-18.11</v>
      </c>
      <c r="CW28" s="9">
        <f t="shared" ref="CW28:DA28" si="212">IF(ISNUMBER(W28),W28,IFERROR(VALUE(SUBSTITUTE(SUBSTITUTE(SUBSTITUTE(SUBSTITUTE(W28,"(","-"),")",""),",","")," ","")),"" ))</f>
        <v>502.33</v>
      </c>
      <c r="CX28" s="9">
        <f t="shared" si="212"/>
        <v>472.96</v>
      </c>
      <c r="CY28" s="9">
        <f t="shared" si="212"/>
        <v>42.8</v>
      </c>
      <c r="CZ28" s="9">
        <f t="shared" si="212"/>
        <v>-334.14</v>
      </c>
      <c r="DA28" s="9">
        <f t="shared" si="212"/>
        <v>-231.44</v>
      </c>
    </row>
    <row r="29" ht="15.75" customHeight="1">
      <c r="A29" s="33">
        <v>28.0</v>
      </c>
      <c r="B29" s="34" t="s">
        <v>32</v>
      </c>
      <c r="C29" s="12" t="s">
        <v>33</v>
      </c>
      <c r="D29" s="13" t="s">
        <v>146</v>
      </c>
      <c r="E29" s="35" t="s">
        <v>147</v>
      </c>
      <c r="F29" s="36">
        <v>2311.1</v>
      </c>
      <c r="G29" s="36">
        <v>105627.26</v>
      </c>
      <c r="H29" s="36">
        <v>21.23</v>
      </c>
      <c r="I29" s="36">
        <v>27.72</v>
      </c>
      <c r="J29" s="36">
        <v>5.38</v>
      </c>
      <c r="K29" s="36">
        <v>3.06</v>
      </c>
      <c r="L29" s="36">
        <v>13.61</v>
      </c>
      <c r="M29" s="36">
        <v>21.3</v>
      </c>
      <c r="N29" s="36">
        <v>20.62</v>
      </c>
      <c r="O29" s="36">
        <v>12.41</v>
      </c>
      <c r="P29" s="36">
        <v>5.0</v>
      </c>
      <c r="Q29" s="36">
        <v>6.13</v>
      </c>
      <c r="R29" s="36">
        <v>6.0</v>
      </c>
      <c r="S29" s="36">
        <v>0.32</v>
      </c>
      <c r="T29" s="36">
        <v>598789.0</v>
      </c>
      <c r="U29" s="36">
        <v>1003952.0</v>
      </c>
      <c r="V29" s="36">
        <v>19.18</v>
      </c>
      <c r="W29" s="36">
        <v>2183.43</v>
      </c>
      <c r="X29" s="36">
        <v>2068.26</v>
      </c>
      <c r="Y29" s="36">
        <v>10734.61</v>
      </c>
      <c r="Z29" s="36">
        <v>5134.41</v>
      </c>
      <c r="AA29" s="36">
        <v>4514.73</v>
      </c>
      <c r="AB29" s="36">
        <v>70.18</v>
      </c>
      <c r="AC29" s="36">
        <v>16.53</v>
      </c>
      <c r="AD29" s="36">
        <v>1.32</v>
      </c>
      <c r="AE29" s="36">
        <v>7.64</v>
      </c>
      <c r="AF29" s="36">
        <v>46.89</v>
      </c>
      <c r="AG29" s="36">
        <v>0.0</v>
      </c>
      <c r="AH29" s="38">
        <f t="shared" si="7"/>
        <v>0.7658730159</v>
      </c>
      <c r="AI29" s="38">
        <f t="shared" si="8"/>
        <v>1.758169935</v>
      </c>
      <c r="AJ29" s="38">
        <f t="shared" si="9"/>
        <v>1.117412704</v>
      </c>
      <c r="AK29" s="38">
        <f t="shared" si="10"/>
        <v>0.1016272693</v>
      </c>
      <c r="AL29" s="38">
        <f t="shared" si="11"/>
        <v>0.04860875876</v>
      </c>
      <c r="AM29" s="38">
        <f t="shared" si="12"/>
        <v>0.04274209139</v>
      </c>
      <c r="AN29" s="38">
        <f t="shared" si="13"/>
        <v>0.526</v>
      </c>
      <c r="AO29" s="38">
        <f t="shared" si="14"/>
        <v>0.154</v>
      </c>
      <c r="AP29" s="38">
        <f t="shared" si="15"/>
        <v>0.346</v>
      </c>
      <c r="AQ29" s="38">
        <f t="shared" si="16"/>
        <v>0.449</v>
      </c>
      <c r="AR29" s="38">
        <f t="shared" si="17"/>
        <v>0.231</v>
      </c>
      <c r="AS29" s="38">
        <f t="shared" si="18"/>
        <v>0.641</v>
      </c>
      <c r="AT29" s="38">
        <f t="shared" si="19"/>
        <v>0.231</v>
      </c>
      <c r="AU29" s="38">
        <f t="shared" si="20"/>
        <v>0.3649</v>
      </c>
      <c r="AV29" s="38">
        <f t="shared" si="21"/>
        <v>0.654</v>
      </c>
      <c r="AW29" s="38">
        <f t="shared" si="22"/>
        <v>0.667</v>
      </c>
      <c r="AX29" s="38">
        <f t="shared" si="23"/>
        <v>0.667</v>
      </c>
      <c r="AY29" s="38">
        <f t="shared" si="24"/>
        <v>0</v>
      </c>
      <c r="AZ29" s="38">
        <f t="shared" si="25"/>
        <v>0.577</v>
      </c>
      <c r="BA29" s="38">
        <f t="shared" si="26"/>
        <v>0.479</v>
      </c>
      <c r="BB29" s="38">
        <f t="shared" si="27"/>
        <v>0.436</v>
      </c>
      <c r="BC29" s="38">
        <f t="shared" si="28"/>
        <v>0.551</v>
      </c>
      <c r="BD29" s="38">
        <f t="shared" si="29"/>
        <v>0.474</v>
      </c>
      <c r="BE29" s="38">
        <f t="shared" si="30"/>
        <v>0.808</v>
      </c>
      <c r="BF29" s="38">
        <f t="shared" si="31"/>
        <v>1</v>
      </c>
      <c r="BG29" s="38">
        <f t="shared" si="32"/>
        <v>0.09</v>
      </c>
      <c r="BH29" s="38">
        <f t="shared" si="33"/>
        <v>0.57185</v>
      </c>
      <c r="BI29" s="38">
        <f t="shared" si="34"/>
        <v>0.359</v>
      </c>
      <c r="BJ29" s="38">
        <f t="shared" si="35"/>
        <v>0.769</v>
      </c>
      <c r="BK29" s="38">
        <f t="shared" si="36"/>
        <v>0.718</v>
      </c>
      <c r="BL29" s="38">
        <f t="shared" si="37"/>
        <v>0.5744625</v>
      </c>
      <c r="BM29" s="38">
        <f t="shared" si="38"/>
        <v>0.731</v>
      </c>
      <c r="BN29" s="39">
        <f t="shared" si="39"/>
        <v>1</v>
      </c>
      <c r="BO29" s="38">
        <f t="shared" si="40"/>
        <v>0.8655</v>
      </c>
      <c r="BP29" s="38">
        <f t="shared" si="41"/>
        <v>0.744</v>
      </c>
      <c r="BQ29" s="38">
        <f t="shared" si="42"/>
        <v>0.3523</v>
      </c>
      <c r="BR29" s="40" t="str">
        <f t="shared" si="43"/>
        <v>High</v>
      </c>
      <c r="BS29" s="38">
        <f t="shared" si="44"/>
        <v>0.435373125</v>
      </c>
      <c r="BT29" s="40" t="str">
        <f t="shared" si="45"/>
        <v>Y</v>
      </c>
      <c r="BU29" s="40" t="str">
        <f t="shared" si="46"/>
        <v>Y</v>
      </c>
      <c r="BV29" s="40" t="str">
        <f t="shared" si="47"/>
        <v>Y</v>
      </c>
      <c r="BW29" s="40" t="str">
        <f t="shared" si="48"/>
        <v>Y</v>
      </c>
      <c r="BX29" s="40" t="str">
        <f t="shared" si="49"/>
        <v>Y</v>
      </c>
      <c r="BY29" s="39">
        <f t="shared" si="50"/>
        <v>26</v>
      </c>
      <c r="BZ29" s="41" t="str">
        <f t="shared" si="51"/>
        <v/>
      </c>
      <c r="CA29" s="12">
        <f t="shared" ref="CA29:CG29" si="213">IF(ISNUMBER(F29),F29,IFERROR(VALUE(SUBSTITUTE(SUBSTITUTE(SUBSTITUTE(SUBSTITUTE(F29,"(","-"),")",""),",","")," ","")),"" ))</f>
        <v>2311.1</v>
      </c>
      <c r="CB29" s="12">
        <f t="shared" si="213"/>
        <v>105627.26</v>
      </c>
      <c r="CC29" s="12">
        <f t="shared" si="213"/>
        <v>21.23</v>
      </c>
      <c r="CD29" s="12">
        <f t="shared" si="213"/>
        <v>27.72</v>
      </c>
      <c r="CE29" s="12">
        <f t="shared" si="213"/>
        <v>5.38</v>
      </c>
      <c r="CF29" s="12">
        <f t="shared" si="213"/>
        <v>3.06</v>
      </c>
      <c r="CG29" s="12">
        <f t="shared" si="213"/>
        <v>13.61</v>
      </c>
      <c r="CH29" s="12">
        <f t="shared" si="53"/>
        <v>70.18</v>
      </c>
      <c r="CI29" s="12">
        <f t="shared" ref="CI29:CK29" si="214">IF(ISNUMBER(M29),M29,IFERROR(VALUE(SUBSTITUTE(SUBSTITUTE(SUBSTITUTE(SUBSTITUTE(SUBSTITUTE(M29,"(","-"),")",""),"%",""),",","")," ","")),"" ))</f>
        <v>21.3</v>
      </c>
      <c r="CJ29" s="12">
        <f t="shared" si="214"/>
        <v>20.62</v>
      </c>
      <c r="CK29" s="12">
        <f t="shared" si="214"/>
        <v>12.41</v>
      </c>
      <c r="CL29" s="12">
        <f t="shared" si="55"/>
        <v>5</v>
      </c>
      <c r="CM29" s="12">
        <f t="shared" si="56"/>
        <v>6.13</v>
      </c>
      <c r="CN29" s="12">
        <f t="shared" ref="CN29:CO29" si="215">IF(ISNUMBER(R29),R29,IFERROR(VALUE(SUBSTITUTE(SUBSTITUTE(SUBSTITUTE(SUBSTITUTE(R29,"(","-"),")",""),",","")," ","")),"" ))</f>
        <v>6</v>
      </c>
      <c r="CO29" s="12">
        <f t="shared" si="215"/>
        <v>0.32</v>
      </c>
      <c r="CP29" s="12">
        <f t="shared" ref="CP29:CR29" si="216">IF(ISNUMBER(AC29),AC29,IFERROR(VALUE(SUBSTITUTE(SUBSTITUTE(SUBSTITUTE(SUBSTITUTE(AC29,"(","-"),")",""),",","")," ","")),"" ))</f>
        <v>16.53</v>
      </c>
      <c r="CQ29" s="12">
        <f t="shared" si="216"/>
        <v>1.32</v>
      </c>
      <c r="CR29" s="12">
        <f t="shared" si="216"/>
        <v>7.64</v>
      </c>
      <c r="CS29" s="12">
        <f t="shared" ref="CS29:CT29" si="217">IF(ISNUMBER(AF29),AF29,IFERROR(VALUE(SUBSTITUTE(SUBSTITUTE(SUBSTITUTE(SUBSTITUTE(SUBSTITUTE(AF29,"(","-"),")",""),"%",""),",","")," ","")),"" ))</f>
        <v>46.89</v>
      </c>
      <c r="CT29" s="12">
        <f t="shared" si="217"/>
        <v>0</v>
      </c>
      <c r="CU29" s="12">
        <f t="shared" si="60"/>
        <v>1003952</v>
      </c>
      <c r="CV29" s="12">
        <f t="shared" si="61"/>
        <v>19.18</v>
      </c>
      <c r="CW29" s="12">
        <f t="shared" ref="CW29:DA29" si="218">IF(ISNUMBER(W29),W29,IFERROR(VALUE(SUBSTITUTE(SUBSTITUTE(SUBSTITUTE(SUBSTITUTE(W29,"(","-"),")",""),",","")," ","")),"" ))</f>
        <v>2183.43</v>
      </c>
      <c r="CX29" s="12">
        <f t="shared" si="218"/>
        <v>2068.26</v>
      </c>
      <c r="CY29" s="12">
        <f t="shared" si="218"/>
        <v>10734.61</v>
      </c>
      <c r="CZ29" s="12">
        <f t="shared" si="218"/>
        <v>5134.41</v>
      </c>
      <c r="DA29" s="12">
        <f t="shared" si="218"/>
        <v>4514.73</v>
      </c>
    </row>
    <row r="30" ht="15.75" customHeight="1">
      <c r="A30" s="25">
        <v>29.0</v>
      </c>
      <c r="B30" s="26" t="s">
        <v>32</v>
      </c>
      <c r="C30" s="9" t="s">
        <v>33</v>
      </c>
      <c r="D30" s="10" t="s">
        <v>172</v>
      </c>
      <c r="E30" s="27" t="s">
        <v>173</v>
      </c>
      <c r="F30" s="28">
        <v>1445.3</v>
      </c>
      <c r="G30" s="28">
        <v>27398.92</v>
      </c>
      <c r="H30" s="28">
        <v>30.3</v>
      </c>
      <c r="I30" s="28">
        <v>27.72</v>
      </c>
      <c r="J30" s="28">
        <v>5.78</v>
      </c>
      <c r="K30" s="28">
        <v>3.06</v>
      </c>
      <c r="L30" s="28">
        <v>15.87</v>
      </c>
      <c r="M30" s="28">
        <v>20.72</v>
      </c>
      <c r="N30" s="28">
        <v>18.51</v>
      </c>
      <c r="O30" s="28">
        <v>8.98</v>
      </c>
      <c r="P30" s="28">
        <v>4.0</v>
      </c>
      <c r="Q30" s="28">
        <v>4.88</v>
      </c>
      <c r="R30" s="28">
        <v>8.0</v>
      </c>
      <c r="S30" s="28">
        <v>0.35</v>
      </c>
      <c r="T30" s="28">
        <v>133632.0</v>
      </c>
      <c r="U30" s="28">
        <v>238470.0</v>
      </c>
      <c r="V30" s="28">
        <v>5.44</v>
      </c>
      <c r="W30" s="28">
        <v>1462.0</v>
      </c>
      <c r="X30" s="28">
        <v>1388.53</v>
      </c>
      <c r="Y30" s="28">
        <v>4168.45</v>
      </c>
      <c r="Z30" s="28">
        <v>2541.67</v>
      </c>
      <c r="AA30" s="28">
        <v>1621.05</v>
      </c>
      <c r="AB30" s="28">
        <v>50.71</v>
      </c>
      <c r="AC30" s="28">
        <v>10.23</v>
      </c>
      <c r="AD30" s="28">
        <v>0.9</v>
      </c>
      <c r="AE30" s="28">
        <v>7.05</v>
      </c>
      <c r="AF30" s="28">
        <v>77.87</v>
      </c>
      <c r="AG30" s="28">
        <v>0.04</v>
      </c>
      <c r="AH30" s="29">
        <f t="shared" si="7"/>
        <v>1.093073593</v>
      </c>
      <c r="AI30" s="29">
        <f t="shared" si="8"/>
        <v>1.888888889</v>
      </c>
      <c r="AJ30" s="29">
        <f t="shared" si="9"/>
        <v>1.040884965</v>
      </c>
      <c r="AK30" s="29">
        <f t="shared" si="10"/>
        <v>0.1521392084</v>
      </c>
      <c r="AL30" s="29">
        <f t="shared" si="11"/>
        <v>0.09276533528</v>
      </c>
      <c r="AM30" s="29">
        <f t="shared" si="12"/>
        <v>0.0591647408</v>
      </c>
      <c r="AN30" s="29">
        <f t="shared" si="13"/>
        <v>0.154</v>
      </c>
      <c r="AO30" s="29">
        <f t="shared" si="14"/>
        <v>0.103</v>
      </c>
      <c r="AP30" s="29">
        <f t="shared" si="15"/>
        <v>0.179</v>
      </c>
      <c r="AQ30" s="29">
        <f t="shared" si="16"/>
        <v>0.192</v>
      </c>
      <c r="AR30" s="29">
        <f t="shared" si="17"/>
        <v>0.308</v>
      </c>
      <c r="AS30" s="29">
        <f t="shared" si="18"/>
        <v>0.205</v>
      </c>
      <c r="AT30" s="29">
        <f t="shared" si="19"/>
        <v>0.167</v>
      </c>
      <c r="AU30" s="29">
        <f t="shared" si="20"/>
        <v>0.18495</v>
      </c>
      <c r="AV30" s="29">
        <f t="shared" si="21"/>
        <v>0.641</v>
      </c>
      <c r="AW30" s="29">
        <f t="shared" si="22"/>
        <v>0.577</v>
      </c>
      <c r="AX30" s="29">
        <f t="shared" si="23"/>
        <v>0.462</v>
      </c>
      <c r="AY30" s="29">
        <f t="shared" si="24"/>
        <v>0.551</v>
      </c>
      <c r="AZ30" s="29">
        <f t="shared" si="25"/>
        <v>0.308</v>
      </c>
      <c r="BA30" s="29">
        <f t="shared" si="26"/>
        <v>0.5212</v>
      </c>
      <c r="BB30" s="29">
        <f t="shared" si="27"/>
        <v>0.397</v>
      </c>
      <c r="BC30" s="29">
        <f t="shared" si="28"/>
        <v>0.487</v>
      </c>
      <c r="BD30" s="29">
        <f t="shared" si="29"/>
        <v>0.269</v>
      </c>
      <c r="BE30" s="29">
        <f t="shared" si="30"/>
        <v>0.692</v>
      </c>
      <c r="BF30" s="29">
        <f t="shared" si="31"/>
        <v>0.051</v>
      </c>
      <c r="BG30" s="29">
        <f t="shared" si="32"/>
        <v>0.962</v>
      </c>
      <c r="BH30" s="29">
        <f t="shared" si="33"/>
        <v>0.49335</v>
      </c>
      <c r="BI30" s="29">
        <f t="shared" si="34"/>
        <v>0.795</v>
      </c>
      <c r="BJ30" s="29">
        <f t="shared" si="35"/>
        <v>0.833</v>
      </c>
      <c r="BK30" s="29">
        <f t="shared" si="36"/>
        <v>0.436</v>
      </c>
      <c r="BL30" s="29">
        <f t="shared" si="37"/>
        <v>0.4804375</v>
      </c>
      <c r="BM30" s="29">
        <f t="shared" si="38"/>
        <v>0.436</v>
      </c>
      <c r="BN30" s="30">
        <f t="shared" si="39"/>
        <v>1</v>
      </c>
      <c r="BO30" s="29">
        <f t="shared" si="40"/>
        <v>0.718</v>
      </c>
      <c r="BP30" s="29">
        <f t="shared" si="41"/>
        <v>0.487</v>
      </c>
      <c r="BQ30" s="29">
        <f t="shared" si="42"/>
        <v>0.4024</v>
      </c>
      <c r="BR30" s="31" t="str">
        <f t="shared" si="43"/>
        <v>High</v>
      </c>
      <c r="BS30" s="29">
        <f t="shared" si="44"/>
        <v>0.430621875</v>
      </c>
      <c r="BT30" s="31" t="str">
        <f t="shared" si="45"/>
        <v>Y</v>
      </c>
      <c r="BU30" s="31" t="str">
        <f t="shared" si="46"/>
        <v>Y</v>
      </c>
      <c r="BV30" s="31" t="str">
        <f t="shared" si="47"/>
        <v>Y</v>
      </c>
      <c r="BW30" s="31" t="str">
        <f t="shared" si="48"/>
        <v>Y</v>
      </c>
      <c r="BX30" s="31" t="str">
        <f t="shared" si="49"/>
        <v>Y</v>
      </c>
      <c r="BY30" s="30">
        <f t="shared" si="50"/>
        <v>27</v>
      </c>
      <c r="BZ30" s="32" t="str">
        <f t="shared" si="51"/>
        <v/>
      </c>
      <c r="CA30" s="9">
        <f t="shared" ref="CA30:CG30" si="219">IF(ISNUMBER(F30),F30,IFERROR(VALUE(SUBSTITUTE(SUBSTITUTE(SUBSTITUTE(SUBSTITUTE(F30,"(","-"),")",""),",","")," ","")),"" ))</f>
        <v>1445.3</v>
      </c>
      <c r="CB30" s="9">
        <f t="shared" si="219"/>
        <v>27398.92</v>
      </c>
      <c r="CC30" s="9">
        <f t="shared" si="219"/>
        <v>30.3</v>
      </c>
      <c r="CD30" s="9">
        <f t="shared" si="219"/>
        <v>27.72</v>
      </c>
      <c r="CE30" s="9">
        <f t="shared" si="219"/>
        <v>5.78</v>
      </c>
      <c r="CF30" s="9">
        <f t="shared" si="219"/>
        <v>3.06</v>
      </c>
      <c r="CG30" s="9">
        <f t="shared" si="219"/>
        <v>15.87</v>
      </c>
      <c r="CH30" s="9">
        <f t="shared" si="53"/>
        <v>50.71</v>
      </c>
      <c r="CI30" s="9">
        <f t="shared" ref="CI30:CK30" si="220">IF(ISNUMBER(M30),M30,IFERROR(VALUE(SUBSTITUTE(SUBSTITUTE(SUBSTITUTE(SUBSTITUTE(SUBSTITUTE(M30,"(","-"),")",""),"%",""),",","")," ","")),"" ))</f>
        <v>20.72</v>
      </c>
      <c r="CJ30" s="9">
        <f t="shared" si="220"/>
        <v>18.51</v>
      </c>
      <c r="CK30" s="9">
        <f t="shared" si="220"/>
        <v>8.98</v>
      </c>
      <c r="CL30" s="9">
        <f t="shared" si="55"/>
        <v>4</v>
      </c>
      <c r="CM30" s="9">
        <f t="shared" si="56"/>
        <v>4.88</v>
      </c>
      <c r="CN30" s="9">
        <f t="shared" ref="CN30:CO30" si="221">IF(ISNUMBER(R30),R30,IFERROR(VALUE(SUBSTITUTE(SUBSTITUTE(SUBSTITUTE(SUBSTITUTE(R30,"(","-"),")",""),",","")," ","")),"" ))</f>
        <v>8</v>
      </c>
      <c r="CO30" s="9">
        <f t="shared" si="221"/>
        <v>0.35</v>
      </c>
      <c r="CP30" s="9">
        <f t="shared" ref="CP30:CR30" si="222">IF(ISNUMBER(AC30),AC30,IFERROR(VALUE(SUBSTITUTE(SUBSTITUTE(SUBSTITUTE(SUBSTITUTE(AC30,"(","-"),")",""),",","")," ","")),"" ))</f>
        <v>10.23</v>
      </c>
      <c r="CQ30" s="9">
        <f t="shared" si="222"/>
        <v>0.9</v>
      </c>
      <c r="CR30" s="9">
        <f t="shared" si="222"/>
        <v>7.05</v>
      </c>
      <c r="CS30" s="9">
        <f t="shared" ref="CS30:CT30" si="223">IF(ISNUMBER(AF30),AF30,IFERROR(VALUE(SUBSTITUTE(SUBSTITUTE(SUBSTITUTE(SUBSTITUTE(SUBSTITUTE(AF30,"(","-"),")",""),"%",""),",","")," ","")),"" ))</f>
        <v>77.87</v>
      </c>
      <c r="CT30" s="9">
        <f t="shared" si="223"/>
        <v>0.04</v>
      </c>
      <c r="CU30" s="9">
        <f t="shared" si="60"/>
        <v>238470</v>
      </c>
      <c r="CV30" s="9">
        <f t="shared" si="61"/>
        <v>5.44</v>
      </c>
      <c r="CW30" s="9">
        <f t="shared" ref="CW30:DA30" si="224">IF(ISNUMBER(W30),W30,IFERROR(VALUE(SUBSTITUTE(SUBSTITUTE(SUBSTITUTE(SUBSTITUTE(W30,"(","-"),")",""),",","")," ","")),"" ))</f>
        <v>1462</v>
      </c>
      <c r="CX30" s="9">
        <f t="shared" si="224"/>
        <v>1388.53</v>
      </c>
      <c r="CY30" s="9">
        <f t="shared" si="224"/>
        <v>4168.45</v>
      </c>
      <c r="CZ30" s="9">
        <f t="shared" si="224"/>
        <v>2541.67</v>
      </c>
      <c r="DA30" s="9">
        <f t="shared" si="224"/>
        <v>1621.05</v>
      </c>
    </row>
    <row r="31" ht="15.75" customHeight="1">
      <c r="A31" s="33">
        <v>30.0</v>
      </c>
      <c r="B31" s="34" t="s">
        <v>45</v>
      </c>
      <c r="C31" s="12" t="s">
        <v>46</v>
      </c>
      <c r="D31" s="13" t="s">
        <v>47</v>
      </c>
      <c r="E31" s="35" t="s">
        <v>48</v>
      </c>
      <c r="F31" s="36">
        <v>531.2</v>
      </c>
      <c r="G31" s="36">
        <v>2308.2</v>
      </c>
      <c r="H31" s="36">
        <v>13.02</v>
      </c>
      <c r="I31" s="36">
        <v>26.33</v>
      </c>
      <c r="J31" s="36">
        <v>2.28</v>
      </c>
      <c r="K31" s="36">
        <v>1.63</v>
      </c>
      <c r="L31" s="36">
        <v>8.34</v>
      </c>
      <c r="M31" s="36">
        <v>20.67</v>
      </c>
      <c r="N31" s="36">
        <v>15.39</v>
      </c>
      <c r="O31" s="36">
        <v>13.91</v>
      </c>
      <c r="P31" s="36">
        <v>6.0</v>
      </c>
      <c r="Q31" s="36">
        <v>10.69</v>
      </c>
      <c r="R31" s="36">
        <v>9.0</v>
      </c>
      <c r="S31" s="36">
        <v>0.01</v>
      </c>
      <c r="T31" s="36">
        <v>59510.0</v>
      </c>
      <c r="U31" s="36">
        <v>80285.0</v>
      </c>
      <c r="V31" s="36">
        <v>-1.49</v>
      </c>
      <c r="W31" s="36">
        <v>534.42</v>
      </c>
      <c r="X31" s="36">
        <v>528.95</v>
      </c>
      <c r="Y31" s="36">
        <v>434.64</v>
      </c>
      <c r="Z31" s="36">
        <v>291.18</v>
      </c>
      <c r="AA31" s="36">
        <v>296.87</v>
      </c>
      <c r="AB31" s="36">
        <v>23.35</v>
      </c>
      <c r="AC31" s="36">
        <v>199.9</v>
      </c>
      <c r="AD31" s="36">
        <v>5.89</v>
      </c>
      <c r="AE31" s="36">
        <v>6.68</v>
      </c>
      <c r="AF31" s="36">
        <v>58.59</v>
      </c>
      <c r="AG31" s="36">
        <v>0.0</v>
      </c>
      <c r="AH31" s="38">
        <f t="shared" si="7"/>
        <v>0.4944929738</v>
      </c>
      <c r="AI31" s="38">
        <f t="shared" si="8"/>
        <v>1.398773006</v>
      </c>
      <c r="AJ31" s="38">
        <f t="shared" si="9"/>
        <v>1.00425371</v>
      </c>
      <c r="AK31" s="38">
        <f t="shared" si="10"/>
        <v>0.1883025734</v>
      </c>
      <c r="AL31" s="38">
        <f t="shared" si="11"/>
        <v>0.1261502469</v>
      </c>
      <c r="AM31" s="38">
        <f t="shared" si="12"/>
        <v>0.1286153713</v>
      </c>
      <c r="AN31" s="38">
        <f t="shared" si="13"/>
        <v>0.846</v>
      </c>
      <c r="AO31" s="38">
        <f t="shared" si="14"/>
        <v>0.833</v>
      </c>
      <c r="AP31" s="38">
        <f t="shared" si="15"/>
        <v>0.808</v>
      </c>
      <c r="AQ31" s="38">
        <f t="shared" si="16"/>
        <v>0.885</v>
      </c>
      <c r="AR31" s="38">
        <f t="shared" si="17"/>
        <v>0.628</v>
      </c>
      <c r="AS31" s="38">
        <f t="shared" si="18"/>
        <v>0.936</v>
      </c>
      <c r="AT31" s="38">
        <f t="shared" si="19"/>
        <v>0.462</v>
      </c>
      <c r="AU31" s="38">
        <f t="shared" si="20"/>
        <v>0.78755</v>
      </c>
      <c r="AV31" s="38">
        <f t="shared" si="21"/>
        <v>0.628</v>
      </c>
      <c r="AW31" s="38">
        <f t="shared" si="22"/>
        <v>0.449</v>
      </c>
      <c r="AX31" s="38">
        <f t="shared" si="23"/>
        <v>0.731</v>
      </c>
      <c r="AY31" s="38">
        <f t="shared" si="24"/>
        <v>0.897</v>
      </c>
      <c r="AZ31" s="38">
        <f t="shared" si="25"/>
        <v>0.756</v>
      </c>
      <c r="BA31" s="38">
        <f t="shared" si="26"/>
        <v>0.69535</v>
      </c>
      <c r="BB31" s="38">
        <f t="shared" si="27"/>
        <v>0.897</v>
      </c>
      <c r="BC31" s="38">
        <f t="shared" si="28"/>
        <v>0.923</v>
      </c>
      <c r="BD31" s="38">
        <f t="shared" si="29"/>
        <v>0.949</v>
      </c>
      <c r="BE31" s="38">
        <f t="shared" si="30"/>
        <v>0.628</v>
      </c>
      <c r="BF31" s="38">
        <f t="shared" si="31"/>
        <v>1</v>
      </c>
      <c r="BG31" s="38">
        <f t="shared" si="32"/>
        <v>0.372</v>
      </c>
      <c r="BH31" s="38">
        <f t="shared" si="33"/>
        <v>0.79665</v>
      </c>
      <c r="BI31" s="38">
        <f t="shared" si="34"/>
        <v>0.064</v>
      </c>
      <c r="BJ31" s="38">
        <f t="shared" si="35"/>
        <v>0.538</v>
      </c>
      <c r="BK31" s="38">
        <f t="shared" si="36"/>
        <v>0.282</v>
      </c>
      <c r="BL31" s="38">
        <f t="shared" si="37"/>
        <v>0.7293625</v>
      </c>
      <c r="BM31" s="38">
        <f t="shared" si="38"/>
        <v>0.231</v>
      </c>
      <c r="BN31" s="39">
        <f t="shared" si="39"/>
        <v>1</v>
      </c>
      <c r="BO31" s="38">
        <f t="shared" si="40"/>
        <v>0.6155</v>
      </c>
      <c r="BP31" s="38">
        <f t="shared" si="41"/>
        <v>0.244</v>
      </c>
      <c r="BQ31" s="38">
        <f t="shared" si="42"/>
        <v>0.4333</v>
      </c>
      <c r="BR31" s="40" t="str">
        <f t="shared" si="43"/>
        <v>High</v>
      </c>
      <c r="BS31" s="38">
        <f t="shared" si="44"/>
        <v>0.552418125</v>
      </c>
      <c r="BT31" s="40" t="str">
        <f t="shared" si="45"/>
        <v>Y</v>
      </c>
      <c r="BU31" s="40" t="str">
        <f t="shared" si="46"/>
        <v>Y</v>
      </c>
      <c r="BV31" s="40" t="str">
        <f t="shared" si="47"/>
        <v>Y</v>
      </c>
      <c r="BW31" s="40" t="str">
        <f t="shared" si="48"/>
        <v>Y</v>
      </c>
      <c r="BX31" s="40" t="str">
        <f t="shared" si="49"/>
        <v>Y</v>
      </c>
      <c r="BY31" s="39">
        <f t="shared" si="50"/>
        <v>13</v>
      </c>
      <c r="BZ31" s="41">
        <f t="shared" si="51"/>
        <v>0.04</v>
      </c>
      <c r="CA31" s="12">
        <f t="shared" ref="CA31:CG31" si="225">IF(ISNUMBER(F31),F31,IFERROR(VALUE(SUBSTITUTE(SUBSTITUTE(SUBSTITUTE(SUBSTITUTE(F31,"(","-"),")",""),",","")," ","")),"" ))</f>
        <v>531.2</v>
      </c>
      <c r="CB31" s="12">
        <f t="shared" si="225"/>
        <v>2308.2</v>
      </c>
      <c r="CC31" s="12">
        <f t="shared" si="225"/>
        <v>13.02</v>
      </c>
      <c r="CD31" s="12">
        <f t="shared" si="225"/>
        <v>26.33</v>
      </c>
      <c r="CE31" s="12">
        <f t="shared" si="225"/>
        <v>2.28</v>
      </c>
      <c r="CF31" s="12">
        <f t="shared" si="225"/>
        <v>1.63</v>
      </c>
      <c r="CG31" s="12">
        <f t="shared" si="225"/>
        <v>8.34</v>
      </c>
      <c r="CH31" s="12">
        <f t="shared" si="53"/>
        <v>23.35</v>
      </c>
      <c r="CI31" s="12">
        <f t="shared" ref="CI31:CK31" si="226">IF(ISNUMBER(M31),M31,IFERROR(VALUE(SUBSTITUTE(SUBSTITUTE(SUBSTITUTE(SUBSTITUTE(SUBSTITUTE(M31,"(","-"),")",""),"%",""),",","")," ","")),"" ))</f>
        <v>20.67</v>
      </c>
      <c r="CJ31" s="12">
        <f t="shared" si="226"/>
        <v>15.39</v>
      </c>
      <c r="CK31" s="12">
        <f t="shared" si="226"/>
        <v>13.91</v>
      </c>
      <c r="CL31" s="12">
        <f t="shared" si="55"/>
        <v>6</v>
      </c>
      <c r="CM31" s="12">
        <f t="shared" si="56"/>
        <v>10.69</v>
      </c>
      <c r="CN31" s="12">
        <f t="shared" ref="CN31:CO31" si="227">IF(ISNUMBER(R31),R31,IFERROR(VALUE(SUBSTITUTE(SUBSTITUTE(SUBSTITUTE(SUBSTITUTE(R31,"(","-"),")",""),",","")," ","")),"" ))</f>
        <v>9</v>
      </c>
      <c r="CO31" s="12">
        <f t="shared" si="227"/>
        <v>0.01</v>
      </c>
      <c r="CP31" s="12">
        <f t="shared" ref="CP31:CR31" si="228">IF(ISNUMBER(AC31),AC31,IFERROR(VALUE(SUBSTITUTE(SUBSTITUTE(SUBSTITUTE(SUBSTITUTE(AC31,"(","-"),")",""),",","")," ","")),"" ))</f>
        <v>199.9</v>
      </c>
      <c r="CQ31" s="12">
        <f t="shared" si="228"/>
        <v>5.89</v>
      </c>
      <c r="CR31" s="12">
        <f t="shared" si="228"/>
        <v>6.68</v>
      </c>
      <c r="CS31" s="12">
        <f t="shared" ref="CS31:CT31" si="229">IF(ISNUMBER(AF31),AF31,IFERROR(VALUE(SUBSTITUTE(SUBSTITUTE(SUBSTITUTE(SUBSTITUTE(SUBSTITUTE(AF31,"(","-"),")",""),"%",""),",","")," ","")),"" ))</f>
        <v>58.59</v>
      </c>
      <c r="CT31" s="12">
        <f t="shared" si="229"/>
        <v>0</v>
      </c>
      <c r="CU31" s="12">
        <f t="shared" si="60"/>
        <v>80285</v>
      </c>
      <c r="CV31" s="12">
        <f t="shared" si="61"/>
        <v>-1.49</v>
      </c>
      <c r="CW31" s="12">
        <f t="shared" ref="CW31:DA31" si="230">IF(ISNUMBER(W31),W31,IFERROR(VALUE(SUBSTITUTE(SUBSTITUTE(SUBSTITUTE(SUBSTITUTE(W31,"(","-"),")",""),",","")," ","")),"" ))</f>
        <v>534.42</v>
      </c>
      <c r="CX31" s="12">
        <f t="shared" si="230"/>
        <v>528.95</v>
      </c>
      <c r="CY31" s="12">
        <f t="shared" si="230"/>
        <v>434.64</v>
      </c>
      <c r="CZ31" s="12">
        <f t="shared" si="230"/>
        <v>291.18</v>
      </c>
      <c r="DA31" s="12">
        <f t="shared" si="230"/>
        <v>296.87</v>
      </c>
    </row>
    <row r="32" ht="15.75" customHeight="1">
      <c r="A32" s="25">
        <v>31.0</v>
      </c>
      <c r="B32" s="26" t="s">
        <v>189</v>
      </c>
      <c r="C32" s="9" t="s">
        <v>55</v>
      </c>
      <c r="D32" s="10" t="s">
        <v>330</v>
      </c>
      <c r="E32" s="27" t="s">
        <v>331</v>
      </c>
      <c r="F32" s="28">
        <v>332.0</v>
      </c>
      <c r="G32" s="28">
        <v>573.36</v>
      </c>
      <c r="H32" s="28">
        <v>21.15</v>
      </c>
      <c r="I32" s="28">
        <v>27.29</v>
      </c>
      <c r="J32" s="28">
        <v>3.93</v>
      </c>
      <c r="K32" s="28">
        <v>3.26</v>
      </c>
      <c r="L32" s="28">
        <v>11.78</v>
      </c>
      <c r="M32" s="28">
        <v>20.62</v>
      </c>
      <c r="N32" s="28">
        <v>20.48</v>
      </c>
      <c r="O32" s="28">
        <v>10.14</v>
      </c>
      <c r="P32" s="28">
        <v>3.0</v>
      </c>
      <c r="Q32" s="28">
        <v>6.88</v>
      </c>
      <c r="R32" s="28">
        <v>7.0</v>
      </c>
      <c r="S32" s="28">
        <v>0.46</v>
      </c>
      <c r="T32" s="28">
        <v>17477.0</v>
      </c>
      <c r="U32" s="28">
        <v>10514.0</v>
      </c>
      <c r="V32" s="28">
        <v>43.38</v>
      </c>
      <c r="W32" s="28">
        <v>296.19</v>
      </c>
      <c r="X32" s="28">
        <v>267.97</v>
      </c>
      <c r="Y32" s="28">
        <v>139.01</v>
      </c>
      <c r="Z32" s="28">
        <v>60.0</v>
      </c>
      <c r="AA32" s="28">
        <v>44.43</v>
      </c>
      <c r="AB32" s="28">
        <v>38.78</v>
      </c>
      <c r="AC32" s="28">
        <v>6.02</v>
      </c>
      <c r="AD32" s="28">
        <v>0.9</v>
      </c>
      <c r="AE32" s="28">
        <v>6.08</v>
      </c>
      <c r="AF32" s="28">
        <v>73.48</v>
      </c>
      <c r="AG32" s="28">
        <v>0.0</v>
      </c>
      <c r="AH32" s="29">
        <f t="shared" si="7"/>
        <v>0.7750091609</v>
      </c>
      <c r="AI32" s="29">
        <f t="shared" si="8"/>
        <v>1.205521472</v>
      </c>
      <c r="AJ32" s="29">
        <f t="shared" si="9"/>
        <v>1.238944658</v>
      </c>
      <c r="AK32" s="29">
        <f t="shared" si="10"/>
        <v>0.2424480257</v>
      </c>
      <c r="AL32" s="29">
        <f t="shared" si="11"/>
        <v>0.1046462955</v>
      </c>
      <c r="AM32" s="29">
        <f t="shared" si="12"/>
        <v>0.07749058183</v>
      </c>
      <c r="AN32" s="29">
        <f t="shared" si="13"/>
        <v>0.538</v>
      </c>
      <c r="AO32" s="29">
        <f t="shared" si="14"/>
        <v>0.41</v>
      </c>
      <c r="AP32" s="29">
        <f t="shared" si="15"/>
        <v>0.551</v>
      </c>
      <c r="AQ32" s="29">
        <f t="shared" si="16"/>
        <v>0.538</v>
      </c>
      <c r="AR32" s="29">
        <f t="shared" si="17"/>
        <v>0.385</v>
      </c>
      <c r="AS32" s="29">
        <f t="shared" si="18"/>
        <v>0.628</v>
      </c>
      <c r="AT32" s="29">
        <f t="shared" si="19"/>
        <v>0.551</v>
      </c>
      <c r="AU32" s="29">
        <f t="shared" si="20"/>
        <v>0.506175</v>
      </c>
      <c r="AV32" s="29">
        <f t="shared" si="21"/>
        <v>0.615</v>
      </c>
      <c r="AW32" s="29">
        <f t="shared" si="22"/>
        <v>0.654</v>
      </c>
      <c r="AX32" s="29">
        <f t="shared" si="23"/>
        <v>0.564</v>
      </c>
      <c r="AY32" s="29">
        <f t="shared" si="24"/>
        <v>0.256</v>
      </c>
      <c r="AZ32" s="29">
        <f t="shared" si="25"/>
        <v>0.128</v>
      </c>
      <c r="BA32" s="29">
        <f t="shared" si="26"/>
        <v>0.43055</v>
      </c>
      <c r="BB32" s="29">
        <f t="shared" si="27"/>
        <v>0.321</v>
      </c>
      <c r="BC32" s="29">
        <f t="shared" si="28"/>
        <v>0.346</v>
      </c>
      <c r="BD32" s="29">
        <f t="shared" si="29"/>
        <v>0.269</v>
      </c>
      <c r="BE32" s="29">
        <f t="shared" si="30"/>
        <v>0.526</v>
      </c>
      <c r="BF32" s="29">
        <f t="shared" si="31"/>
        <v>1</v>
      </c>
      <c r="BG32" s="29">
        <f t="shared" si="32"/>
        <v>0.795</v>
      </c>
      <c r="BH32" s="29">
        <f t="shared" si="33"/>
        <v>0.4861</v>
      </c>
      <c r="BI32" s="29">
        <f t="shared" si="34"/>
        <v>0.372</v>
      </c>
      <c r="BJ32" s="29">
        <f t="shared" si="35"/>
        <v>0.449</v>
      </c>
      <c r="BK32" s="29">
        <f t="shared" si="36"/>
        <v>0.872</v>
      </c>
      <c r="BL32" s="29">
        <f t="shared" si="37"/>
        <v>0.799775</v>
      </c>
      <c r="BM32" s="29">
        <f t="shared" si="38"/>
        <v>0.936</v>
      </c>
      <c r="BN32" s="30">
        <f t="shared" si="39"/>
        <v>1</v>
      </c>
      <c r="BO32" s="29">
        <f t="shared" si="40"/>
        <v>0.968</v>
      </c>
      <c r="BP32" s="29">
        <f t="shared" si="41"/>
        <v>0.026</v>
      </c>
      <c r="BQ32" s="29">
        <f t="shared" si="42"/>
        <v>0.4858</v>
      </c>
      <c r="BR32" s="31" t="str">
        <f t="shared" si="43"/>
        <v>High</v>
      </c>
      <c r="BS32" s="29">
        <f t="shared" si="44"/>
        <v>0.42738875</v>
      </c>
      <c r="BT32" s="31" t="str">
        <f t="shared" si="45"/>
        <v>N</v>
      </c>
      <c r="BU32" s="31" t="str">
        <f t="shared" si="46"/>
        <v>Y</v>
      </c>
      <c r="BV32" s="31" t="str">
        <f t="shared" si="47"/>
        <v>Y</v>
      </c>
      <c r="BW32" s="31" t="str">
        <f t="shared" si="48"/>
        <v>Y</v>
      </c>
      <c r="BX32" s="31" t="str">
        <f t="shared" si="49"/>
        <v>N</v>
      </c>
      <c r="BY32" s="30" t="str">
        <f t="shared" si="50"/>
        <v/>
      </c>
      <c r="BZ32" s="32" t="str">
        <f t="shared" si="51"/>
        <v/>
      </c>
      <c r="CA32" s="9">
        <f t="shared" ref="CA32:CG32" si="231">IF(ISNUMBER(F32),F32,IFERROR(VALUE(SUBSTITUTE(SUBSTITUTE(SUBSTITUTE(SUBSTITUTE(F32,"(","-"),")",""),",","")," ","")),"" ))</f>
        <v>332</v>
      </c>
      <c r="CB32" s="9">
        <f t="shared" si="231"/>
        <v>573.36</v>
      </c>
      <c r="CC32" s="9">
        <f t="shared" si="231"/>
        <v>21.15</v>
      </c>
      <c r="CD32" s="9">
        <f t="shared" si="231"/>
        <v>27.29</v>
      </c>
      <c r="CE32" s="9">
        <f t="shared" si="231"/>
        <v>3.93</v>
      </c>
      <c r="CF32" s="9">
        <f t="shared" si="231"/>
        <v>3.26</v>
      </c>
      <c r="CG32" s="9">
        <f t="shared" si="231"/>
        <v>11.78</v>
      </c>
      <c r="CH32" s="9">
        <f t="shared" si="53"/>
        <v>38.78</v>
      </c>
      <c r="CI32" s="9">
        <f t="shared" ref="CI32:CK32" si="232">IF(ISNUMBER(M32),M32,IFERROR(VALUE(SUBSTITUTE(SUBSTITUTE(SUBSTITUTE(SUBSTITUTE(SUBSTITUTE(M32,"(","-"),")",""),"%",""),",","")," ","")),"" ))</f>
        <v>20.62</v>
      </c>
      <c r="CJ32" s="9">
        <f t="shared" si="232"/>
        <v>20.48</v>
      </c>
      <c r="CK32" s="9">
        <f t="shared" si="232"/>
        <v>10.14</v>
      </c>
      <c r="CL32" s="9">
        <f t="shared" si="55"/>
        <v>3</v>
      </c>
      <c r="CM32" s="9">
        <f t="shared" si="56"/>
        <v>6.88</v>
      </c>
      <c r="CN32" s="9">
        <f t="shared" ref="CN32:CO32" si="233">IF(ISNUMBER(R32),R32,IFERROR(VALUE(SUBSTITUTE(SUBSTITUTE(SUBSTITUTE(SUBSTITUTE(R32,"(","-"),")",""),",","")," ","")),"" ))</f>
        <v>7</v>
      </c>
      <c r="CO32" s="9">
        <f t="shared" si="233"/>
        <v>0.46</v>
      </c>
      <c r="CP32" s="9">
        <f t="shared" ref="CP32:CR32" si="234">IF(ISNUMBER(AC32),AC32,IFERROR(VALUE(SUBSTITUTE(SUBSTITUTE(SUBSTITUTE(SUBSTITUTE(AC32,"(","-"),")",""),",","")," ","")),"" ))</f>
        <v>6.02</v>
      </c>
      <c r="CQ32" s="9">
        <f t="shared" si="234"/>
        <v>0.9</v>
      </c>
      <c r="CR32" s="9">
        <f t="shared" si="234"/>
        <v>6.08</v>
      </c>
      <c r="CS32" s="9">
        <f t="shared" ref="CS32:CT32" si="235">IF(ISNUMBER(AF32),AF32,IFERROR(VALUE(SUBSTITUTE(SUBSTITUTE(SUBSTITUTE(SUBSTITUTE(SUBSTITUTE(AF32,"(","-"),")",""),"%",""),",","")," ","")),"" ))</f>
        <v>73.48</v>
      </c>
      <c r="CT32" s="9">
        <f t="shared" si="235"/>
        <v>0</v>
      </c>
      <c r="CU32" s="9">
        <f t="shared" si="60"/>
        <v>10514</v>
      </c>
      <c r="CV32" s="9">
        <f t="shared" si="61"/>
        <v>43.38</v>
      </c>
      <c r="CW32" s="9">
        <f t="shared" ref="CW32:DA32" si="236">IF(ISNUMBER(W32),W32,IFERROR(VALUE(SUBSTITUTE(SUBSTITUTE(SUBSTITUTE(SUBSTITUTE(W32,"(","-"),")",""),",","")," ","")),"" ))</f>
        <v>296.19</v>
      </c>
      <c r="CX32" s="9">
        <f t="shared" si="236"/>
        <v>267.97</v>
      </c>
      <c r="CY32" s="9">
        <f t="shared" si="236"/>
        <v>139.01</v>
      </c>
      <c r="CZ32" s="9">
        <f t="shared" si="236"/>
        <v>60</v>
      </c>
      <c r="DA32" s="9">
        <f t="shared" si="236"/>
        <v>44.43</v>
      </c>
    </row>
    <row r="33" ht="15.75" customHeight="1">
      <c r="A33" s="33">
        <v>32.0</v>
      </c>
      <c r="B33" s="34" t="s">
        <v>157</v>
      </c>
      <c r="C33" s="12" t="s">
        <v>50</v>
      </c>
      <c r="D33" s="13" t="s">
        <v>158</v>
      </c>
      <c r="E33" s="35" t="s">
        <v>159</v>
      </c>
      <c r="F33" s="36">
        <v>4073.8</v>
      </c>
      <c r="G33" s="36">
        <v>9464.41</v>
      </c>
      <c r="H33" s="36">
        <v>30.75</v>
      </c>
      <c r="I33" s="36">
        <v>20.88</v>
      </c>
      <c r="J33" s="36">
        <v>3.78</v>
      </c>
      <c r="K33" s="36">
        <v>2.41</v>
      </c>
      <c r="L33" s="36">
        <v>20.18</v>
      </c>
      <c r="M33" s="36">
        <v>20.57</v>
      </c>
      <c r="N33" s="36">
        <v>15.0</v>
      </c>
      <c r="O33" s="36">
        <v>13.23</v>
      </c>
      <c r="P33" s="36">
        <v>3.0</v>
      </c>
      <c r="Q33" s="36">
        <v>4.49</v>
      </c>
      <c r="R33" s="36">
        <v>7.0</v>
      </c>
      <c r="S33" s="36">
        <v>0.01</v>
      </c>
      <c r="T33" s="36">
        <v>70730.0</v>
      </c>
      <c r="U33" s="36">
        <v>90059.0</v>
      </c>
      <c r="V33" s="36">
        <v>40.77</v>
      </c>
      <c r="W33" s="36">
        <v>3733.52</v>
      </c>
      <c r="X33" s="36">
        <v>3543.88</v>
      </c>
      <c r="Y33" s="36">
        <v>1091.32</v>
      </c>
      <c r="Z33" s="36">
        <v>785.63</v>
      </c>
      <c r="AA33" s="36">
        <v>583.27</v>
      </c>
      <c r="AB33" s="36">
        <v>48.61</v>
      </c>
      <c r="AC33" s="36">
        <v>51.39</v>
      </c>
      <c r="AD33" s="36">
        <v>3.1</v>
      </c>
      <c r="AE33" s="36">
        <v>8.18</v>
      </c>
      <c r="AF33" s="36">
        <v>60.72</v>
      </c>
      <c r="AG33" s="36">
        <v>0.0</v>
      </c>
      <c r="AH33" s="38">
        <f t="shared" si="7"/>
        <v>1.472701149</v>
      </c>
      <c r="AI33" s="38">
        <f t="shared" si="8"/>
        <v>1.56846473</v>
      </c>
      <c r="AJ33" s="38">
        <f t="shared" si="9"/>
        <v>1.149531022</v>
      </c>
      <c r="AK33" s="38">
        <f t="shared" si="10"/>
        <v>0.1153077688</v>
      </c>
      <c r="AL33" s="38">
        <f t="shared" si="11"/>
        <v>0.08300887219</v>
      </c>
      <c r="AM33" s="38">
        <f t="shared" si="12"/>
        <v>0.061627719</v>
      </c>
      <c r="AN33" s="38">
        <f t="shared" si="13"/>
        <v>0.141</v>
      </c>
      <c r="AO33" s="38">
        <f t="shared" si="14"/>
        <v>0.449</v>
      </c>
      <c r="AP33" s="38">
        <f t="shared" si="15"/>
        <v>0.051</v>
      </c>
      <c r="AQ33" s="38">
        <f t="shared" si="16"/>
        <v>0.128</v>
      </c>
      <c r="AR33" s="38">
        <f t="shared" si="17"/>
        <v>0.321</v>
      </c>
      <c r="AS33" s="38">
        <f t="shared" si="18"/>
        <v>0.051</v>
      </c>
      <c r="AT33" s="38">
        <f t="shared" si="19"/>
        <v>0.359</v>
      </c>
      <c r="AU33" s="38">
        <f t="shared" si="20"/>
        <v>0.20385</v>
      </c>
      <c r="AV33" s="38">
        <f t="shared" si="21"/>
        <v>0.603</v>
      </c>
      <c r="AW33" s="38">
        <f t="shared" si="22"/>
        <v>0.397</v>
      </c>
      <c r="AX33" s="38">
        <f t="shared" si="23"/>
        <v>0.692</v>
      </c>
      <c r="AY33" s="38">
        <f t="shared" si="24"/>
        <v>0.256</v>
      </c>
      <c r="AZ33" s="38">
        <f t="shared" si="25"/>
        <v>0.128</v>
      </c>
      <c r="BA33" s="38">
        <f t="shared" si="26"/>
        <v>0.38895</v>
      </c>
      <c r="BB33" s="38">
        <f t="shared" si="27"/>
        <v>0.897</v>
      </c>
      <c r="BC33" s="38">
        <f t="shared" si="28"/>
        <v>0.756</v>
      </c>
      <c r="BD33" s="38">
        <f t="shared" si="29"/>
        <v>0.833</v>
      </c>
      <c r="BE33" s="38">
        <f t="shared" si="30"/>
        <v>0.872</v>
      </c>
      <c r="BF33" s="38">
        <f t="shared" si="31"/>
        <v>1</v>
      </c>
      <c r="BG33" s="38">
        <f t="shared" si="32"/>
        <v>0.41</v>
      </c>
      <c r="BH33" s="38">
        <f t="shared" si="33"/>
        <v>0.8248</v>
      </c>
      <c r="BI33" s="38">
        <f t="shared" si="34"/>
        <v>0.949</v>
      </c>
      <c r="BJ33" s="38">
        <f t="shared" si="35"/>
        <v>0.641</v>
      </c>
      <c r="BK33" s="38">
        <f t="shared" si="36"/>
        <v>0.756</v>
      </c>
      <c r="BL33" s="38">
        <f t="shared" si="37"/>
        <v>0.7497</v>
      </c>
      <c r="BM33" s="38">
        <f t="shared" si="38"/>
        <v>0.885</v>
      </c>
      <c r="BN33" s="39">
        <f t="shared" si="39"/>
        <v>1</v>
      </c>
      <c r="BO33" s="38">
        <f t="shared" si="40"/>
        <v>0.9425</v>
      </c>
      <c r="BP33" s="38">
        <f t="shared" si="41"/>
        <v>0.256</v>
      </c>
      <c r="BQ33" s="38">
        <f t="shared" si="42"/>
        <v>0.2026</v>
      </c>
      <c r="BR33" s="40" t="str">
        <f t="shared" si="43"/>
        <v>High</v>
      </c>
      <c r="BS33" s="38">
        <f t="shared" si="44"/>
        <v>0.558185</v>
      </c>
      <c r="BT33" s="40" t="str">
        <f t="shared" si="45"/>
        <v>Y</v>
      </c>
      <c r="BU33" s="40" t="str">
        <f t="shared" si="46"/>
        <v>Y</v>
      </c>
      <c r="BV33" s="40" t="str">
        <f t="shared" si="47"/>
        <v>Y</v>
      </c>
      <c r="BW33" s="40" t="str">
        <f t="shared" si="48"/>
        <v>Y</v>
      </c>
      <c r="BX33" s="40" t="str">
        <f t="shared" si="49"/>
        <v>Y</v>
      </c>
      <c r="BY33" s="39">
        <f t="shared" si="50"/>
        <v>12</v>
      </c>
      <c r="BZ33" s="41">
        <f t="shared" si="51"/>
        <v>0.04</v>
      </c>
      <c r="CA33" s="12">
        <f t="shared" ref="CA33:CG33" si="237">IF(ISNUMBER(F33),F33,IFERROR(VALUE(SUBSTITUTE(SUBSTITUTE(SUBSTITUTE(SUBSTITUTE(F33,"(","-"),")",""),",","")," ","")),"" ))</f>
        <v>4073.8</v>
      </c>
      <c r="CB33" s="12">
        <f t="shared" si="237"/>
        <v>9464.41</v>
      </c>
      <c r="CC33" s="12">
        <f t="shared" si="237"/>
        <v>30.75</v>
      </c>
      <c r="CD33" s="12">
        <f t="shared" si="237"/>
        <v>20.88</v>
      </c>
      <c r="CE33" s="12">
        <f t="shared" si="237"/>
        <v>3.78</v>
      </c>
      <c r="CF33" s="12">
        <f t="shared" si="237"/>
        <v>2.41</v>
      </c>
      <c r="CG33" s="12">
        <f t="shared" si="237"/>
        <v>20.18</v>
      </c>
      <c r="CH33" s="12">
        <f t="shared" si="53"/>
        <v>48.61</v>
      </c>
      <c r="CI33" s="12">
        <f t="shared" ref="CI33:CK33" si="238">IF(ISNUMBER(M33),M33,IFERROR(VALUE(SUBSTITUTE(SUBSTITUTE(SUBSTITUTE(SUBSTITUTE(SUBSTITUTE(M33,"(","-"),")",""),"%",""),",","")," ","")),"" ))</f>
        <v>20.57</v>
      </c>
      <c r="CJ33" s="12">
        <f t="shared" si="238"/>
        <v>15</v>
      </c>
      <c r="CK33" s="12">
        <f t="shared" si="238"/>
        <v>13.23</v>
      </c>
      <c r="CL33" s="12">
        <f t="shared" si="55"/>
        <v>3</v>
      </c>
      <c r="CM33" s="12">
        <f t="shared" si="56"/>
        <v>4.49</v>
      </c>
      <c r="CN33" s="12">
        <f t="shared" ref="CN33:CO33" si="239">IF(ISNUMBER(R33),R33,IFERROR(VALUE(SUBSTITUTE(SUBSTITUTE(SUBSTITUTE(SUBSTITUTE(R33,"(","-"),")",""),",","")," ","")),"" ))</f>
        <v>7</v>
      </c>
      <c r="CO33" s="12">
        <f t="shared" si="239"/>
        <v>0.01</v>
      </c>
      <c r="CP33" s="12">
        <f t="shared" ref="CP33:CR33" si="240">IF(ISNUMBER(AC33),AC33,IFERROR(VALUE(SUBSTITUTE(SUBSTITUTE(SUBSTITUTE(SUBSTITUTE(AC33,"(","-"),")",""),",","")," ","")),"" ))</f>
        <v>51.39</v>
      </c>
      <c r="CQ33" s="12">
        <f t="shared" si="240"/>
        <v>3.1</v>
      </c>
      <c r="CR33" s="12">
        <f t="shared" si="240"/>
        <v>8.18</v>
      </c>
      <c r="CS33" s="12">
        <f t="shared" ref="CS33:CT33" si="241">IF(ISNUMBER(AF33),AF33,IFERROR(VALUE(SUBSTITUTE(SUBSTITUTE(SUBSTITUTE(SUBSTITUTE(SUBSTITUTE(AF33,"(","-"),")",""),"%",""),",","")," ","")),"" ))</f>
        <v>60.72</v>
      </c>
      <c r="CT33" s="12">
        <f t="shared" si="241"/>
        <v>0</v>
      </c>
      <c r="CU33" s="12">
        <f t="shared" si="60"/>
        <v>90059</v>
      </c>
      <c r="CV33" s="12">
        <f t="shared" si="61"/>
        <v>40.77</v>
      </c>
      <c r="CW33" s="12">
        <f t="shared" ref="CW33:DA33" si="242">IF(ISNUMBER(W33),W33,IFERROR(VALUE(SUBSTITUTE(SUBSTITUTE(SUBSTITUTE(SUBSTITUTE(W33,"(","-"),")",""),",","")," ","")),"" ))</f>
        <v>3733.52</v>
      </c>
      <c r="CX33" s="12">
        <f t="shared" si="242"/>
        <v>3543.88</v>
      </c>
      <c r="CY33" s="12">
        <f t="shared" si="242"/>
        <v>1091.32</v>
      </c>
      <c r="CZ33" s="12">
        <f t="shared" si="242"/>
        <v>785.63</v>
      </c>
      <c r="DA33" s="12">
        <f t="shared" si="242"/>
        <v>583.27</v>
      </c>
    </row>
    <row r="34" ht="15.75" customHeight="1">
      <c r="A34" s="25">
        <v>33.0</v>
      </c>
      <c r="B34" s="26" t="s">
        <v>212</v>
      </c>
      <c r="C34" s="9" t="s">
        <v>63</v>
      </c>
      <c r="D34" s="10" t="s">
        <v>213</v>
      </c>
      <c r="E34" s="27" t="s">
        <v>214</v>
      </c>
      <c r="F34" s="28">
        <v>329.2</v>
      </c>
      <c r="G34" s="28">
        <v>3073.05</v>
      </c>
      <c r="H34" s="28">
        <v>34.66</v>
      </c>
      <c r="I34" s="28">
        <v>24.27</v>
      </c>
      <c r="J34" s="28">
        <v>6.06</v>
      </c>
      <c r="K34" s="28">
        <v>3.83</v>
      </c>
      <c r="L34" s="28">
        <v>15.86</v>
      </c>
      <c r="M34" s="28">
        <v>20.17</v>
      </c>
      <c r="N34" s="28">
        <v>14.89</v>
      </c>
      <c r="O34" s="28">
        <v>6.02</v>
      </c>
      <c r="P34" s="28">
        <v>6.0</v>
      </c>
      <c r="Q34" s="28">
        <v>5.45</v>
      </c>
      <c r="R34" s="28">
        <v>6.0</v>
      </c>
      <c r="S34" s="28">
        <v>1.24</v>
      </c>
      <c r="T34" s="28">
        <v>233910.0</v>
      </c>
      <c r="U34" s="28">
        <v>61758.0</v>
      </c>
      <c r="V34" s="28">
        <v>-11.28</v>
      </c>
      <c r="W34" s="28">
        <v>309.8</v>
      </c>
      <c r="X34" s="28">
        <v>309.37</v>
      </c>
      <c r="Y34" s="28">
        <v>555.53</v>
      </c>
      <c r="Z34" s="28">
        <v>154.11</v>
      </c>
      <c r="AA34" s="28">
        <v>61.61</v>
      </c>
      <c r="AB34" s="28">
        <v>149.56</v>
      </c>
      <c r="AC34" s="28">
        <v>2.8</v>
      </c>
      <c r="AD34" s="28">
        <v>0.68</v>
      </c>
      <c r="AE34" s="28">
        <v>6.36</v>
      </c>
      <c r="AF34" s="28">
        <v>68.54</v>
      </c>
      <c r="AG34" s="28">
        <v>0.0</v>
      </c>
      <c r="AH34" s="29">
        <f t="shared" si="7"/>
        <v>1.428100536</v>
      </c>
      <c r="AI34" s="29">
        <f t="shared" si="8"/>
        <v>1.582245431</v>
      </c>
      <c r="AJ34" s="29">
        <f t="shared" si="9"/>
        <v>1.064098006</v>
      </c>
      <c r="AK34" s="29">
        <f t="shared" si="10"/>
        <v>0.1807748003</v>
      </c>
      <c r="AL34" s="29">
        <f t="shared" si="11"/>
        <v>0.0501488749</v>
      </c>
      <c r="AM34" s="29">
        <f t="shared" si="12"/>
        <v>0.02004848603</v>
      </c>
      <c r="AN34" s="29">
        <f t="shared" si="13"/>
        <v>0.077</v>
      </c>
      <c r="AO34" s="29">
        <f t="shared" si="14"/>
        <v>0.077</v>
      </c>
      <c r="AP34" s="29">
        <f t="shared" si="15"/>
        <v>0.192</v>
      </c>
      <c r="AQ34" s="29">
        <f t="shared" si="16"/>
        <v>0.295</v>
      </c>
      <c r="AR34" s="29">
        <f t="shared" si="17"/>
        <v>0.077</v>
      </c>
      <c r="AS34" s="29">
        <f t="shared" si="18"/>
        <v>0.077</v>
      </c>
      <c r="AT34" s="29">
        <f t="shared" si="19"/>
        <v>0.346</v>
      </c>
      <c r="AU34" s="29">
        <f t="shared" si="20"/>
        <v>0.152875</v>
      </c>
      <c r="AV34" s="29">
        <f t="shared" si="21"/>
        <v>0.59</v>
      </c>
      <c r="AW34" s="29">
        <f t="shared" si="22"/>
        <v>0.385</v>
      </c>
      <c r="AX34" s="29">
        <f t="shared" si="23"/>
        <v>0.192</v>
      </c>
      <c r="AY34" s="29">
        <f t="shared" si="24"/>
        <v>0</v>
      </c>
      <c r="AZ34" s="29">
        <f t="shared" si="25"/>
        <v>0.756</v>
      </c>
      <c r="BA34" s="29">
        <f t="shared" si="26"/>
        <v>0.3949</v>
      </c>
      <c r="BB34" s="29">
        <f t="shared" si="27"/>
        <v>0.038</v>
      </c>
      <c r="BC34" s="29">
        <f t="shared" si="28"/>
        <v>0.077</v>
      </c>
      <c r="BD34" s="29">
        <f t="shared" si="29"/>
        <v>0.141</v>
      </c>
      <c r="BE34" s="29">
        <f t="shared" si="30"/>
        <v>0.577</v>
      </c>
      <c r="BF34" s="29">
        <f t="shared" si="31"/>
        <v>1</v>
      </c>
      <c r="BG34" s="29">
        <f t="shared" si="32"/>
        <v>0.641</v>
      </c>
      <c r="BH34" s="29">
        <f t="shared" si="33"/>
        <v>0.3454</v>
      </c>
      <c r="BI34" s="29">
        <f t="shared" si="34"/>
        <v>0.923</v>
      </c>
      <c r="BJ34" s="29">
        <f t="shared" si="35"/>
        <v>0.654</v>
      </c>
      <c r="BK34" s="29">
        <f t="shared" si="36"/>
        <v>0.551</v>
      </c>
      <c r="BL34" s="29">
        <f t="shared" si="37"/>
        <v>0.7107</v>
      </c>
      <c r="BM34" s="29">
        <f t="shared" si="38"/>
        <v>0.038</v>
      </c>
      <c r="BN34" s="30">
        <f t="shared" si="39"/>
        <v>1</v>
      </c>
      <c r="BO34" s="29">
        <f t="shared" si="40"/>
        <v>0.519</v>
      </c>
      <c r="BP34" s="29">
        <f t="shared" si="41"/>
        <v>0.218</v>
      </c>
      <c r="BQ34" s="29">
        <f t="shared" si="42"/>
        <v>0.5463</v>
      </c>
      <c r="BR34" s="31" t="str">
        <f t="shared" si="43"/>
        <v>High</v>
      </c>
      <c r="BS34" s="29">
        <f t="shared" si="44"/>
        <v>0.272035</v>
      </c>
      <c r="BT34" s="31" t="str">
        <f t="shared" si="45"/>
        <v>Y</v>
      </c>
      <c r="BU34" s="31" t="str">
        <f t="shared" si="46"/>
        <v>Y</v>
      </c>
      <c r="BV34" s="31" t="str">
        <f t="shared" si="47"/>
        <v>Y</v>
      </c>
      <c r="BW34" s="31" t="str">
        <f t="shared" si="48"/>
        <v>Y</v>
      </c>
      <c r="BX34" s="31" t="str">
        <f t="shared" si="49"/>
        <v>Y</v>
      </c>
      <c r="BY34" s="30">
        <f t="shared" si="50"/>
        <v>41</v>
      </c>
      <c r="BZ34" s="32" t="str">
        <f t="shared" si="51"/>
        <v/>
      </c>
      <c r="CA34" s="9">
        <f t="shared" ref="CA34:CG34" si="243">IF(ISNUMBER(F34),F34,IFERROR(VALUE(SUBSTITUTE(SUBSTITUTE(SUBSTITUTE(SUBSTITUTE(F34,"(","-"),")",""),",","")," ","")),"" ))</f>
        <v>329.2</v>
      </c>
      <c r="CB34" s="9">
        <f t="shared" si="243"/>
        <v>3073.05</v>
      </c>
      <c r="CC34" s="9">
        <f t="shared" si="243"/>
        <v>34.66</v>
      </c>
      <c r="CD34" s="9">
        <f t="shared" si="243"/>
        <v>24.27</v>
      </c>
      <c r="CE34" s="9">
        <f t="shared" si="243"/>
        <v>6.06</v>
      </c>
      <c r="CF34" s="9">
        <f t="shared" si="243"/>
        <v>3.83</v>
      </c>
      <c r="CG34" s="9">
        <f t="shared" si="243"/>
        <v>15.86</v>
      </c>
      <c r="CH34" s="9">
        <f t="shared" si="53"/>
        <v>149.56</v>
      </c>
      <c r="CI34" s="9">
        <f t="shared" ref="CI34:CK34" si="244">IF(ISNUMBER(M34),M34,IFERROR(VALUE(SUBSTITUTE(SUBSTITUTE(SUBSTITUTE(SUBSTITUTE(SUBSTITUTE(M34,"(","-"),")",""),"%",""),",","")," ","")),"" ))</f>
        <v>20.17</v>
      </c>
      <c r="CJ34" s="9">
        <f t="shared" si="244"/>
        <v>14.89</v>
      </c>
      <c r="CK34" s="9">
        <f t="shared" si="244"/>
        <v>6.02</v>
      </c>
      <c r="CL34" s="9">
        <f t="shared" si="55"/>
        <v>6</v>
      </c>
      <c r="CM34" s="9">
        <f t="shared" si="56"/>
        <v>5.45</v>
      </c>
      <c r="CN34" s="9">
        <f t="shared" ref="CN34:CO34" si="245">IF(ISNUMBER(R34),R34,IFERROR(VALUE(SUBSTITUTE(SUBSTITUTE(SUBSTITUTE(SUBSTITUTE(R34,"(","-"),")",""),",","")," ","")),"" ))</f>
        <v>6</v>
      </c>
      <c r="CO34" s="9">
        <f t="shared" si="245"/>
        <v>1.24</v>
      </c>
      <c r="CP34" s="9">
        <f t="shared" ref="CP34:CR34" si="246">IF(ISNUMBER(AC34),AC34,IFERROR(VALUE(SUBSTITUTE(SUBSTITUTE(SUBSTITUTE(SUBSTITUTE(AC34,"(","-"),")",""),",","")," ","")),"" ))</f>
        <v>2.8</v>
      </c>
      <c r="CQ34" s="9">
        <f t="shared" si="246"/>
        <v>0.68</v>
      </c>
      <c r="CR34" s="9">
        <f t="shared" si="246"/>
        <v>6.36</v>
      </c>
      <c r="CS34" s="9">
        <f t="shared" ref="CS34:CT34" si="247">IF(ISNUMBER(AF34),AF34,IFERROR(VALUE(SUBSTITUTE(SUBSTITUTE(SUBSTITUTE(SUBSTITUTE(SUBSTITUTE(AF34,"(","-"),")",""),"%",""),",","")," ","")),"" ))</f>
        <v>68.54</v>
      </c>
      <c r="CT34" s="9">
        <f t="shared" si="247"/>
        <v>0</v>
      </c>
      <c r="CU34" s="9">
        <f t="shared" si="60"/>
        <v>61758</v>
      </c>
      <c r="CV34" s="9">
        <f t="shared" si="61"/>
        <v>-11.28</v>
      </c>
      <c r="CW34" s="9">
        <f t="shared" ref="CW34:DA34" si="248">IF(ISNUMBER(W34),W34,IFERROR(VALUE(SUBSTITUTE(SUBSTITUTE(SUBSTITUTE(SUBSTITUTE(W34,"(","-"),")",""),",","")," ","")),"" ))</f>
        <v>309.8</v>
      </c>
      <c r="CX34" s="9">
        <f t="shared" si="248"/>
        <v>309.37</v>
      </c>
      <c r="CY34" s="9">
        <f t="shared" si="248"/>
        <v>555.53</v>
      </c>
      <c r="CZ34" s="9">
        <f t="shared" si="248"/>
        <v>154.11</v>
      </c>
      <c r="DA34" s="9">
        <f t="shared" si="248"/>
        <v>61.61</v>
      </c>
    </row>
    <row r="35" ht="15.75" customHeight="1">
      <c r="A35" s="33">
        <v>34.0</v>
      </c>
      <c r="B35" s="34" t="s">
        <v>174</v>
      </c>
      <c r="C35" s="12" t="s">
        <v>38</v>
      </c>
      <c r="D35" s="13" t="s">
        <v>175</v>
      </c>
      <c r="E35" s="35" t="s">
        <v>176</v>
      </c>
      <c r="F35" s="36">
        <v>568.25</v>
      </c>
      <c r="G35" s="36">
        <v>13710.79</v>
      </c>
      <c r="H35" s="36">
        <v>28.6</v>
      </c>
      <c r="I35" s="36">
        <v>19.33</v>
      </c>
      <c r="J35" s="36">
        <v>4.42</v>
      </c>
      <c r="K35" s="36">
        <v>1.89</v>
      </c>
      <c r="L35" s="36">
        <v>18.53</v>
      </c>
      <c r="M35" s="36">
        <v>19.2</v>
      </c>
      <c r="N35" s="36">
        <v>15.11</v>
      </c>
      <c r="O35" s="36">
        <v>11.96</v>
      </c>
      <c r="P35" s="36">
        <v>3.0</v>
      </c>
      <c r="Q35" s="36">
        <v>4.49</v>
      </c>
      <c r="R35" s="36">
        <v>9.0</v>
      </c>
      <c r="S35" s="36">
        <v>0.21</v>
      </c>
      <c r="T35" s="36">
        <v>120755.0</v>
      </c>
      <c r="U35" s="36">
        <v>334836.0</v>
      </c>
      <c r="V35" s="36">
        <v>-7.23</v>
      </c>
      <c r="W35" s="36">
        <v>563.97</v>
      </c>
      <c r="X35" s="36">
        <v>549.5</v>
      </c>
      <c r="Y35" s="36">
        <v>1344.37</v>
      </c>
      <c r="Z35" s="36">
        <v>363.4</v>
      </c>
      <c r="AA35" s="36">
        <v>356.44</v>
      </c>
      <c r="AB35" s="36">
        <v>115.41</v>
      </c>
      <c r="AC35" s="36">
        <v>18.99</v>
      </c>
      <c r="AD35" s="36">
        <v>1.89</v>
      </c>
      <c r="AE35" s="36">
        <v>8.28</v>
      </c>
      <c r="AF35" s="36">
        <v>69.83</v>
      </c>
      <c r="AG35" s="36">
        <v>0.0</v>
      </c>
      <c r="AH35" s="38">
        <f t="shared" si="7"/>
        <v>1.479565442</v>
      </c>
      <c r="AI35" s="38">
        <f t="shared" si="8"/>
        <v>2.338624339</v>
      </c>
      <c r="AJ35" s="38">
        <f t="shared" si="9"/>
        <v>1.034121929</v>
      </c>
      <c r="AK35" s="38">
        <f t="shared" si="10"/>
        <v>0.09805197221</v>
      </c>
      <c r="AL35" s="38">
        <f t="shared" si="11"/>
        <v>0.0265046726</v>
      </c>
      <c r="AM35" s="38">
        <f t="shared" si="12"/>
        <v>0.0259970432</v>
      </c>
      <c r="AN35" s="38">
        <f t="shared" si="13"/>
        <v>0.205</v>
      </c>
      <c r="AO35" s="38">
        <f t="shared" si="14"/>
        <v>0.295</v>
      </c>
      <c r="AP35" s="38">
        <f t="shared" si="15"/>
        <v>0.077</v>
      </c>
      <c r="AQ35" s="38">
        <f t="shared" si="16"/>
        <v>0.128</v>
      </c>
      <c r="AR35" s="38">
        <f t="shared" si="17"/>
        <v>0.141</v>
      </c>
      <c r="AS35" s="38">
        <f t="shared" si="18"/>
        <v>0.038</v>
      </c>
      <c r="AT35" s="38">
        <f t="shared" si="19"/>
        <v>0.026</v>
      </c>
      <c r="AU35" s="38">
        <f t="shared" si="20"/>
        <v>0.1458</v>
      </c>
      <c r="AV35" s="38">
        <f t="shared" si="21"/>
        <v>0.577</v>
      </c>
      <c r="AW35" s="38">
        <f t="shared" si="22"/>
        <v>0.423</v>
      </c>
      <c r="AX35" s="38">
        <f t="shared" si="23"/>
        <v>0.654</v>
      </c>
      <c r="AY35" s="38">
        <f t="shared" si="24"/>
        <v>0.897</v>
      </c>
      <c r="AZ35" s="38">
        <f t="shared" si="25"/>
        <v>0.128</v>
      </c>
      <c r="BA35" s="38">
        <f t="shared" si="26"/>
        <v>0.5441</v>
      </c>
      <c r="BB35" s="38">
        <f t="shared" si="27"/>
        <v>0.526</v>
      </c>
      <c r="BC35" s="38">
        <f t="shared" si="28"/>
        <v>0.615</v>
      </c>
      <c r="BD35" s="38">
        <f t="shared" si="29"/>
        <v>0.654</v>
      </c>
      <c r="BE35" s="38">
        <f t="shared" si="30"/>
        <v>0.885</v>
      </c>
      <c r="BF35" s="38">
        <f t="shared" si="31"/>
        <v>1</v>
      </c>
      <c r="BG35" s="38">
        <f t="shared" si="32"/>
        <v>0.705</v>
      </c>
      <c r="BH35" s="38">
        <f t="shared" si="33"/>
        <v>0.7072</v>
      </c>
      <c r="BI35" s="38">
        <f t="shared" si="34"/>
        <v>0.962</v>
      </c>
      <c r="BJ35" s="38">
        <f t="shared" si="35"/>
        <v>0.974</v>
      </c>
      <c r="BK35" s="38">
        <f t="shared" si="36"/>
        <v>0.41</v>
      </c>
      <c r="BL35" s="38">
        <f t="shared" si="37"/>
        <v>0.82355</v>
      </c>
      <c r="BM35" s="38">
        <f t="shared" si="38"/>
        <v>0.115</v>
      </c>
      <c r="BN35" s="39">
        <f t="shared" si="39"/>
        <v>1</v>
      </c>
      <c r="BO35" s="38">
        <f t="shared" si="40"/>
        <v>0.5575</v>
      </c>
      <c r="BP35" s="38">
        <f t="shared" si="41"/>
        <v>0.577</v>
      </c>
      <c r="BQ35" s="38">
        <f t="shared" si="42"/>
        <v>0.2151</v>
      </c>
      <c r="BR35" s="40" t="str">
        <f t="shared" si="43"/>
        <v>High</v>
      </c>
      <c r="BS35" s="38">
        <f t="shared" si="44"/>
        <v>0.4842775</v>
      </c>
      <c r="BT35" s="40" t="str">
        <f t="shared" si="45"/>
        <v>Y</v>
      </c>
      <c r="BU35" s="40" t="str">
        <f t="shared" si="46"/>
        <v>Y</v>
      </c>
      <c r="BV35" s="40" t="str">
        <f t="shared" si="47"/>
        <v>Y</v>
      </c>
      <c r="BW35" s="40" t="str">
        <f t="shared" si="48"/>
        <v>Y</v>
      </c>
      <c r="BX35" s="40" t="str">
        <f t="shared" si="49"/>
        <v>Y</v>
      </c>
      <c r="BY35" s="39">
        <f t="shared" si="50"/>
        <v>20</v>
      </c>
      <c r="BZ35" s="41">
        <f t="shared" si="51"/>
        <v>0.04</v>
      </c>
      <c r="CA35" s="12">
        <f t="shared" ref="CA35:CG35" si="249">IF(ISNUMBER(F35),F35,IFERROR(VALUE(SUBSTITUTE(SUBSTITUTE(SUBSTITUTE(SUBSTITUTE(F35,"(","-"),")",""),",","")," ","")),"" ))</f>
        <v>568.25</v>
      </c>
      <c r="CB35" s="12">
        <f t="shared" si="249"/>
        <v>13710.79</v>
      </c>
      <c r="CC35" s="12">
        <f t="shared" si="249"/>
        <v>28.6</v>
      </c>
      <c r="CD35" s="12">
        <f t="shared" si="249"/>
        <v>19.33</v>
      </c>
      <c r="CE35" s="12">
        <f t="shared" si="249"/>
        <v>4.42</v>
      </c>
      <c r="CF35" s="12">
        <f t="shared" si="249"/>
        <v>1.89</v>
      </c>
      <c r="CG35" s="12">
        <f t="shared" si="249"/>
        <v>18.53</v>
      </c>
      <c r="CH35" s="12">
        <f t="shared" si="53"/>
        <v>115.41</v>
      </c>
      <c r="CI35" s="12">
        <f t="shared" ref="CI35:CK35" si="250">IF(ISNUMBER(M35),M35,IFERROR(VALUE(SUBSTITUTE(SUBSTITUTE(SUBSTITUTE(SUBSTITUTE(SUBSTITUTE(M35,"(","-"),")",""),"%",""),",","")," ","")),"" ))</f>
        <v>19.2</v>
      </c>
      <c r="CJ35" s="12">
        <f t="shared" si="250"/>
        <v>15.11</v>
      </c>
      <c r="CK35" s="12">
        <f t="shared" si="250"/>
        <v>11.96</v>
      </c>
      <c r="CL35" s="12">
        <f t="shared" si="55"/>
        <v>3</v>
      </c>
      <c r="CM35" s="12">
        <f t="shared" si="56"/>
        <v>4.49</v>
      </c>
      <c r="CN35" s="12">
        <f t="shared" ref="CN35:CO35" si="251">IF(ISNUMBER(R35),R35,IFERROR(VALUE(SUBSTITUTE(SUBSTITUTE(SUBSTITUTE(SUBSTITUTE(R35,"(","-"),")",""),",","")," ","")),"" ))</f>
        <v>9</v>
      </c>
      <c r="CO35" s="12">
        <f t="shared" si="251"/>
        <v>0.21</v>
      </c>
      <c r="CP35" s="12">
        <f t="shared" ref="CP35:CR35" si="252">IF(ISNUMBER(AC35),AC35,IFERROR(VALUE(SUBSTITUTE(SUBSTITUTE(SUBSTITUTE(SUBSTITUTE(AC35,"(","-"),")",""),",","")," ","")),"" ))</f>
        <v>18.99</v>
      </c>
      <c r="CQ35" s="12">
        <f t="shared" si="252"/>
        <v>1.89</v>
      </c>
      <c r="CR35" s="12">
        <f t="shared" si="252"/>
        <v>8.28</v>
      </c>
      <c r="CS35" s="12">
        <f t="shared" ref="CS35:CT35" si="253">IF(ISNUMBER(AF35),AF35,IFERROR(VALUE(SUBSTITUTE(SUBSTITUTE(SUBSTITUTE(SUBSTITUTE(SUBSTITUTE(AF35,"(","-"),")",""),"%",""),",","")," ","")),"" ))</f>
        <v>69.83</v>
      </c>
      <c r="CT35" s="12">
        <f t="shared" si="253"/>
        <v>0</v>
      </c>
      <c r="CU35" s="12">
        <f t="shared" si="60"/>
        <v>334836</v>
      </c>
      <c r="CV35" s="12">
        <f t="shared" si="61"/>
        <v>-7.23</v>
      </c>
      <c r="CW35" s="12">
        <f t="shared" ref="CW35:DA35" si="254">IF(ISNUMBER(W35),W35,IFERROR(VALUE(SUBSTITUTE(SUBSTITUTE(SUBSTITUTE(SUBSTITUTE(W35,"(","-"),")",""),",","")," ","")),"" ))</f>
        <v>563.97</v>
      </c>
      <c r="CX35" s="12">
        <f t="shared" si="254"/>
        <v>549.5</v>
      </c>
      <c r="CY35" s="12">
        <f t="shared" si="254"/>
        <v>1344.37</v>
      </c>
      <c r="CZ35" s="12">
        <f t="shared" si="254"/>
        <v>363.4</v>
      </c>
      <c r="DA35" s="12">
        <f t="shared" si="254"/>
        <v>356.44</v>
      </c>
    </row>
    <row r="36" ht="15.75" customHeight="1">
      <c r="A36" s="25">
        <v>35.0</v>
      </c>
      <c r="B36" s="26" t="s">
        <v>140</v>
      </c>
      <c r="C36" s="9" t="s">
        <v>67</v>
      </c>
      <c r="D36" s="10" t="s">
        <v>141</v>
      </c>
      <c r="E36" s="27" t="s">
        <v>142</v>
      </c>
      <c r="F36" s="28">
        <v>1345.4</v>
      </c>
      <c r="G36" s="28">
        <v>131819.56</v>
      </c>
      <c r="H36" s="28">
        <v>27.41</v>
      </c>
      <c r="I36" s="28">
        <v>22.02</v>
      </c>
      <c r="J36" s="28">
        <v>4.79</v>
      </c>
      <c r="K36" s="28">
        <v>3.25</v>
      </c>
      <c r="L36" s="28">
        <v>14.86</v>
      </c>
      <c r="M36" s="28">
        <v>18.56</v>
      </c>
      <c r="N36" s="28">
        <v>14.62</v>
      </c>
      <c r="O36" s="28">
        <v>9.04</v>
      </c>
      <c r="P36" s="28">
        <v>3.0</v>
      </c>
      <c r="Q36" s="28">
        <v>5.29</v>
      </c>
      <c r="R36" s="28">
        <v>8.0</v>
      </c>
      <c r="S36" s="28">
        <v>0.07</v>
      </c>
      <c r="T36" s="28">
        <v>1631040.0</v>
      </c>
      <c r="U36" s="28">
        <v>2118859.0</v>
      </c>
      <c r="V36" s="28">
        <v>-10.33</v>
      </c>
      <c r="W36" s="28">
        <v>1547.66</v>
      </c>
      <c r="X36" s="28">
        <v>1543.97</v>
      </c>
      <c r="Y36" s="28">
        <v>31113.2</v>
      </c>
      <c r="Z36" s="28">
        <v>27515.6</v>
      </c>
      <c r="AA36" s="28">
        <v>15544.3</v>
      </c>
      <c r="AB36" s="28">
        <v>25.44</v>
      </c>
      <c r="AC36" s="28">
        <v>20.52</v>
      </c>
      <c r="AD36" s="28">
        <v>1.82</v>
      </c>
      <c r="AE36" s="28">
        <v>7.44</v>
      </c>
      <c r="AF36" s="28">
        <v>34.98</v>
      </c>
      <c r="AG36" s="28">
        <v>0.0</v>
      </c>
      <c r="AH36" s="29">
        <f t="shared" si="7"/>
        <v>1.244777475</v>
      </c>
      <c r="AI36" s="29">
        <f t="shared" si="8"/>
        <v>1.473846154</v>
      </c>
      <c r="AJ36" s="29">
        <f t="shared" si="9"/>
        <v>0.8713899881</v>
      </c>
      <c r="AK36" s="29">
        <f t="shared" si="10"/>
        <v>0.2360287047</v>
      </c>
      <c r="AL36" s="29">
        <f t="shared" si="11"/>
        <v>0.2087368521</v>
      </c>
      <c r="AM36" s="29">
        <f t="shared" si="12"/>
        <v>0.117921043</v>
      </c>
      <c r="AN36" s="29">
        <f t="shared" si="13"/>
        <v>0.256</v>
      </c>
      <c r="AO36" s="29">
        <f t="shared" si="14"/>
        <v>0.244</v>
      </c>
      <c r="AP36" s="29">
        <f t="shared" si="15"/>
        <v>0.256</v>
      </c>
      <c r="AQ36" s="29">
        <f t="shared" si="16"/>
        <v>0.244</v>
      </c>
      <c r="AR36" s="29">
        <f t="shared" si="17"/>
        <v>0.538</v>
      </c>
      <c r="AS36" s="29">
        <f t="shared" si="18"/>
        <v>0.154</v>
      </c>
      <c r="AT36" s="29">
        <f t="shared" si="19"/>
        <v>0.436</v>
      </c>
      <c r="AU36" s="29">
        <f t="shared" si="20"/>
        <v>0.30055</v>
      </c>
      <c r="AV36" s="29">
        <f t="shared" si="21"/>
        <v>0.564</v>
      </c>
      <c r="AW36" s="29">
        <f t="shared" si="22"/>
        <v>0.372</v>
      </c>
      <c r="AX36" s="29">
        <f t="shared" si="23"/>
        <v>0.487</v>
      </c>
      <c r="AY36" s="29">
        <f t="shared" si="24"/>
        <v>0.551</v>
      </c>
      <c r="AZ36" s="29">
        <f t="shared" si="25"/>
        <v>0.128</v>
      </c>
      <c r="BA36" s="29">
        <f t="shared" si="26"/>
        <v>0.42745</v>
      </c>
      <c r="BB36" s="29">
        <f t="shared" si="27"/>
        <v>0.628</v>
      </c>
      <c r="BC36" s="29">
        <f t="shared" si="28"/>
        <v>0.641</v>
      </c>
      <c r="BD36" s="29">
        <f t="shared" si="29"/>
        <v>0.641</v>
      </c>
      <c r="BE36" s="29">
        <f t="shared" si="30"/>
        <v>0.744</v>
      </c>
      <c r="BF36" s="29">
        <f t="shared" si="31"/>
        <v>1</v>
      </c>
      <c r="BG36" s="29">
        <f t="shared" si="32"/>
        <v>0.038</v>
      </c>
      <c r="BH36" s="29">
        <f t="shared" si="33"/>
        <v>0.63845</v>
      </c>
      <c r="BI36" s="29">
        <f t="shared" si="34"/>
        <v>0.846</v>
      </c>
      <c r="BJ36" s="29">
        <f t="shared" si="35"/>
        <v>0.564</v>
      </c>
      <c r="BK36" s="29">
        <f t="shared" si="36"/>
        <v>0</v>
      </c>
      <c r="BL36" s="29">
        <f t="shared" si="37"/>
        <v>0.5729125</v>
      </c>
      <c r="BM36" s="29">
        <f t="shared" si="38"/>
        <v>0.051</v>
      </c>
      <c r="BN36" s="30">
        <f t="shared" si="39"/>
        <v>1</v>
      </c>
      <c r="BO36" s="29">
        <f t="shared" si="40"/>
        <v>0.5255</v>
      </c>
      <c r="BP36" s="29">
        <f t="shared" si="41"/>
        <v>0.833</v>
      </c>
      <c r="BQ36" s="29">
        <f t="shared" si="42"/>
        <v>0.3641</v>
      </c>
      <c r="BR36" s="31" t="str">
        <f t="shared" si="43"/>
        <v>High</v>
      </c>
      <c r="BS36" s="29">
        <f t="shared" si="44"/>
        <v>0.548995625</v>
      </c>
      <c r="BT36" s="31" t="str">
        <f t="shared" si="45"/>
        <v>Y</v>
      </c>
      <c r="BU36" s="31" t="str">
        <f t="shared" si="46"/>
        <v>Y</v>
      </c>
      <c r="BV36" s="31" t="str">
        <f t="shared" si="47"/>
        <v>Y</v>
      </c>
      <c r="BW36" s="31" t="str">
        <f t="shared" si="48"/>
        <v>Y</v>
      </c>
      <c r="BX36" s="31" t="str">
        <f t="shared" si="49"/>
        <v>Y</v>
      </c>
      <c r="BY36" s="30">
        <f t="shared" si="50"/>
        <v>14</v>
      </c>
      <c r="BZ36" s="32">
        <f t="shared" si="51"/>
        <v>0.04</v>
      </c>
      <c r="CA36" s="9">
        <f t="shared" ref="CA36:CG36" si="255">IF(ISNUMBER(F36),F36,IFERROR(VALUE(SUBSTITUTE(SUBSTITUTE(SUBSTITUTE(SUBSTITUTE(F36,"(","-"),")",""),",","")," ","")),"" ))</f>
        <v>1345.4</v>
      </c>
      <c r="CB36" s="9">
        <f t="shared" si="255"/>
        <v>131819.56</v>
      </c>
      <c r="CC36" s="9">
        <f t="shared" si="255"/>
        <v>27.41</v>
      </c>
      <c r="CD36" s="9">
        <f t="shared" si="255"/>
        <v>22.02</v>
      </c>
      <c r="CE36" s="9">
        <f t="shared" si="255"/>
        <v>4.79</v>
      </c>
      <c r="CF36" s="9">
        <f t="shared" si="255"/>
        <v>3.25</v>
      </c>
      <c r="CG36" s="9">
        <f t="shared" si="255"/>
        <v>14.86</v>
      </c>
      <c r="CH36" s="9">
        <f t="shared" si="53"/>
        <v>25.44</v>
      </c>
      <c r="CI36" s="9">
        <f t="shared" ref="CI36:CK36" si="256">IF(ISNUMBER(M36),M36,IFERROR(VALUE(SUBSTITUTE(SUBSTITUTE(SUBSTITUTE(SUBSTITUTE(SUBSTITUTE(M36,"(","-"),")",""),"%",""),",","")," ","")),"" ))</f>
        <v>18.56</v>
      </c>
      <c r="CJ36" s="9">
        <f t="shared" si="256"/>
        <v>14.62</v>
      </c>
      <c r="CK36" s="9">
        <f t="shared" si="256"/>
        <v>9.04</v>
      </c>
      <c r="CL36" s="9">
        <f t="shared" si="55"/>
        <v>3</v>
      </c>
      <c r="CM36" s="9">
        <f t="shared" si="56"/>
        <v>5.29</v>
      </c>
      <c r="CN36" s="9">
        <f t="shared" ref="CN36:CO36" si="257">IF(ISNUMBER(R36),R36,IFERROR(VALUE(SUBSTITUTE(SUBSTITUTE(SUBSTITUTE(SUBSTITUTE(R36,"(","-"),")",""),",","")," ","")),"" ))</f>
        <v>8</v>
      </c>
      <c r="CO36" s="9">
        <f t="shared" si="257"/>
        <v>0.07</v>
      </c>
      <c r="CP36" s="9">
        <f t="shared" ref="CP36:CR36" si="258">IF(ISNUMBER(AC36),AC36,IFERROR(VALUE(SUBSTITUTE(SUBSTITUTE(SUBSTITUTE(SUBSTITUTE(AC36,"(","-"),")",""),",","")," ","")),"" ))</f>
        <v>20.52</v>
      </c>
      <c r="CQ36" s="9">
        <f t="shared" si="258"/>
        <v>1.82</v>
      </c>
      <c r="CR36" s="9">
        <f t="shared" si="258"/>
        <v>7.44</v>
      </c>
      <c r="CS36" s="9">
        <f t="shared" ref="CS36:CT36" si="259">IF(ISNUMBER(AF36),AF36,IFERROR(VALUE(SUBSTITUTE(SUBSTITUTE(SUBSTITUTE(SUBSTITUTE(SUBSTITUTE(AF36,"(","-"),")",""),"%",""),",","")," ","")),"" ))</f>
        <v>34.98</v>
      </c>
      <c r="CT36" s="9">
        <f t="shared" si="259"/>
        <v>0</v>
      </c>
      <c r="CU36" s="9">
        <f t="shared" si="60"/>
        <v>2118859</v>
      </c>
      <c r="CV36" s="9">
        <f t="shared" si="61"/>
        <v>-10.33</v>
      </c>
      <c r="CW36" s="9">
        <f t="shared" ref="CW36:DA36" si="260">IF(ISNUMBER(W36),W36,IFERROR(VALUE(SUBSTITUTE(SUBSTITUTE(SUBSTITUTE(SUBSTITUTE(W36,"(","-"),")",""),",","")," ","")),"" ))</f>
        <v>1547.66</v>
      </c>
      <c r="CX36" s="9">
        <f t="shared" si="260"/>
        <v>1543.97</v>
      </c>
      <c r="CY36" s="9">
        <f t="shared" si="260"/>
        <v>31113.2</v>
      </c>
      <c r="CZ36" s="9">
        <f t="shared" si="260"/>
        <v>27515.6</v>
      </c>
      <c r="DA36" s="9">
        <f t="shared" si="260"/>
        <v>15544.3</v>
      </c>
    </row>
    <row r="37" ht="15.75" customHeight="1">
      <c r="A37" s="33">
        <v>36.0</v>
      </c>
      <c r="B37" s="34" t="s">
        <v>32</v>
      </c>
      <c r="C37" s="12" t="s">
        <v>33</v>
      </c>
      <c r="D37" s="13" t="s">
        <v>332</v>
      </c>
      <c r="E37" s="35" t="s">
        <v>333</v>
      </c>
      <c r="F37" s="36">
        <v>1514.3</v>
      </c>
      <c r="G37" s="36">
        <v>1571.27</v>
      </c>
      <c r="H37" s="36">
        <v>27.5</v>
      </c>
      <c r="I37" s="36">
        <v>27.72</v>
      </c>
      <c r="J37" s="36">
        <v>5.42</v>
      </c>
      <c r="K37" s="36">
        <v>3.06</v>
      </c>
      <c r="L37" s="36">
        <v>15.27</v>
      </c>
      <c r="M37" s="36">
        <v>18.4</v>
      </c>
      <c r="N37" s="36">
        <v>16.31</v>
      </c>
      <c r="O37" s="36">
        <v>9.46</v>
      </c>
      <c r="P37" s="36">
        <v>2.0</v>
      </c>
      <c r="Q37" s="36">
        <v>5.36</v>
      </c>
      <c r="R37" s="36">
        <v>8.0</v>
      </c>
      <c r="S37" s="36">
        <v>0.38</v>
      </c>
      <c r="T37" s="36">
        <v>30516.0</v>
      </c>
      <c r="U37" s="36">
        <v>21722.0</v>
      </c>
      <c r="V37" s="36">
        <v>62.78</v>
      </c>
      <c r="W37" s="36">
        <v>1221.51</v>
      </c>
      <c r="X37" s="36">
        <v>1031.75</v>
      </c>
      <c r="Y37" s="36">
        <v>224.39</v>
      </c>
      <c r="Z37" s="36">
        <v>49.52</v>
      </c>
      <c r="AA37" s="36">
        <v>40.62</v>
      </c>
      <c r="AB37" s="36">
        <v>116.31</v>
      </c>
      <c r="AC37" s="36">
        <v>8.35</v>
      </c>
      <c r="AD37" s="36">
        <v>1.38</v>
      </c>
      <c r="AE37" s="36">
        <v>8.07</v>
      </c>
      <c r="AF37" s="36">
        <v>54.83</v>
      </c>
      <c r="AG37" s="36">
        <v>0.0</v>
      </c>
      <c r="AH37" s="38">
        <f t="shared" si="7"/>
        <v>0.9920634921</v>
      </c>
      <c r="AI37" s="38">
        <f t="shared" si="8"/>
        <v>1.77124183</v>
      </c>
      <c r="AJ37" s="38">
        <f t="shared" si="9"/>
        <v>1.467700509</v>
      </c>
      <c r="AK37" s="38">
        <f t="shared" si="10"/>
        <v>0.142808047</v>
      </c>
      <c r="AL37" s="38">
        <f t="shared" si="11"/>
        <v>0.03151590751</v>
      </c>
      <c r="AM37" s="38">
        <f t="shared" si="12"/>
        <v>0.02585169958</v>
      </c>
      <c r="AN37" s="38">
        <f t="shared" si="13"/>
        <v>0.218</v>
      </c>
      <c r="AO37" s="38">
        <f t="shared" si="14"/>
        <v>0.141</v>
      </c>
      <c r="AP37" s="38">
        <f t="shared" si="15"/>
        <v>0.218</v>
      </c>
      <c r="AQ37" s="38">
        <f t="shared" si="16"/>
        <v>0.269</v>
      </c>
      <c r="AR37" s="38">
        <f t="shared" si="17"/>
        <v>0.128</v>
      </c>
      <c r="AS37" s="38">
        <f t="shared" si="18"/>
        <v>0.359</v>
      </c>
      <c r="AT37" s="38">
        <f t="shared" si="19"/>
        <v>0.205</v>
      </c>
      <c r="AU37" s="38">
        <f t="shared" si="20"/>
        <v>0.2102</v>
      </c>
      <c r="AV37" s="38">
        <f t="shared" si="21"/>
        <v>0.551</v>
      </c>
      <c r="AW37" s="38">
        <f t="shared" si="22"/>
        <v>0.487</v>
      </c>
      <c r="AX37" s="38">
        <f t="shared" si="23"/>
        <v>0.526</v>
      </c>
      <c r="AY37" s="38">
        <f t="shared" si="24"/>
        <v>0.551</v>
      </c>
      <c r="AZ37" s="38">
        <f t="shared" si="25"/>
        <v>0.026</v>
      </c>
      <c r="BA37" s="38">
        <f t="shared" si="26"/>
        <v>0.4307</v>
      </c>
      <c r="BB37" s="38">
        <f t="shared" si="27"/>
        <v>0.372</v>
      </c>
      <c r="BC37" s="38">
        <f t="shared" si="28"/>
        <v>0.423</v>
      </c>
      <c r="BD37" s="38">
        <f t="shared" si="29"/>
        <v>0.487</v>
      </c>
      <c r="BE37" s="38">
        <f t="shared" si="30"/>
        <v>0.846</v>
      </c>
      <c r="BF37" s="38">
        <f t="shared" si="31"/>
        <v>1</v>
      </c>
      <c r="BG37" s="38">
        <f t="shared" si="32"/>
        <v>0.244</v>
      </c>
      <c r="BH37" s="38">
        <f t="shared" si="33"/>
        <v>0.55965</v>
      </c>
      <c r="BI37" s="38">
        <f t="shared" si="34"/>
        <v>0.641</v>
      </c>
      <c r="BJ37" s="38">
        <f t="shared" si="35"/>
        <v>0.795</v>
      </c>
      <c r="BK37" s="38">
        <f t="shared" si="36"/>
        <v>1</v>
      </c>
      <c r="BL37" s="38">
        <f t="shared" si="37"/>
        <v>0.6253125</v>
      </c>
      <c r="BM37" s="38">
        <f t="shared" si="38"/>
        <v>0.949</v>
      </c>
      <c r="BN37" s="39">
        <f t="shared" si="39"/>
        <v>1</v>
      </c>
      <c r="BO37" s="38">
        <f t="shared" si="40"/>
        <v>0.9745</v>
      </c>
      <c r="BP37" s="38">
        <f t="shared" si="41"/>
        <v>0.103</v>
      </c>
      <c r="BQ37" s="38">
        <f t="shared" si="42"/>
        <v>0.355</v>
      </c>
      <c r="BR37" s="40" t="str">
        <f t="shared" si="43"/>
        <v>High</v>
      </c>
      <c r="BS37" s="38">
        <f t="shared" si="44"/>
        <v>0.397265625</v>
      </c>
      <c r="BT37" s="40" t="str">
        <f t="shared" si="45"/>
        <v>N</v>
      </c>
      <c r="BU37" s="40" t="str">
        <f t="shared" si="46"/>
        <v>Y</v>
      </c>
      <c r="BV37" s="40" t="str">
        <f t="shared" si="47"/>
        <v>Y</v>
      </c>
      <c r="BW37" s="40" t="str">
        <f t="shared" si="48"/>
        <v>Y</v>
      </c>
      <c r="BX37" s="40" t="str">
        <f t="shared" si="49"/>
        <v>N</v>
      </c>
      <c r="BY37" s="39" t="str">
        <f t="shared" si="50"/>
        <v/>
      </c>
      <c r="BZ37" s="41" t="str">
        <f t="shared" si="51"/>
        <v/>
      </c>
      <c r="CA37" s="12">
        <f t="shared" ref="CA37:CG37" si="261">IF(ISNUMBER(F37),F37,IFERROR(VALUE(SUBSTITUTE(SUBSTITUTE(SUBSTITUTE(SUBSTITUTE(F37,"(","-"),")",""),",","")," ","")),"" ))</f>
        <v>1514.3</v>
      </c>
      <c r="CB37" s="12">
        <f t="shared" si="261"/>
        <v>1571.27</v>
      </c>
      <c r="CC37" s="12">
        <f t="shared" si="261"/>
        <v>27.5</v>
      </c>
      <c r="CD37" s="12">
        <f t="shared" si="261"/>
        <v>27.72</v>
      </c>
      <c r="CE37" s="12">
        <f t="shared" si="261"/>
        <v>5.42</v>
      </c>
      <c r="CF37" s="12">
        <f t="shared" si="261"/>
        <v>3.06</v>
      </c>
      <c r="CG37" s="12">
        <f t="shared" si="261"/>
        <v>15.27</v>
      </c>
      <c r="CH37" s="12">
        <f t="shared" si="53"/>
        <v>116.31</v>
      </c>
      <c r="CI37" s="12">
        <f t="shared" ref="CI37:CK37" si="262">IF(ISNUMBER(M37),M37,IFERROR(VALUE(SUBSTITUTE(SUBSTITUTE(SUBSTITUTE(SUBSTITUTE(SUBSTITUTE(M37,"(","-"),")",""),"%",""),",","")," ","")),"" ))</f>
        <v>18.4</v>
      </c>
      <c r="CJ37" s="12">
        <f t="shared" si="262"/>
        <v>16.31</v>
      </c>
      <c r="CK37" s="12">
        <f t="shared" si="262"/>
        <v>9.46</v>
      </c>
      <c r="CL37" s="12">
        <f t="shared" si="55"/>
        <v>2</v>
      </c>
      <c r="CM37" s="12">
        <f t="shared" si="56"/>
        <v>5.36</v>
      </c>
      <c r="CN37" s="12">
        <f t="shared" ref="CN37:CO37" si="263">IF(ISNUMBER(R37),R37,IFERROR(VALUE(SUBSTITUTE(SUBSTITUTE(SUBSTITUTE(SUBSTITUTE(R37,"(","-"),")",""),",","")," ","")),"" ))</f>
        <v>8</v>
      </c>
      <c r="CO37" s="12">
        <f t="shared" si="263"/>
        <v>0.38</v>
      </c>
      <c r="CP37" s="12">
        <f t="shared" ref="CP37:CR37" si="264">IF(ISNUMBER(AC37),AC37,IFERROR(VALUE(SUBSTITUTE(SUBSTITUTE(SUBSTITUTE(SUBSTITUTE(AC37,"(","-"),")",""),",","")," ","")),"" ))</f>
        <v>8.35</v>
      </c>
      <c r="CQ37" s="12">
        <f t="shared" si="264"/>
        <v>1.38</v>
      </c>
      <c r="CR37" s="12">
        <f t="shared" si="264"/>
        <v>8.07</v>
      </c>
      <c r="CS37" s="12">
        <f t="shared" ref="CS37:CT37" si="265">IF(ISNUMBER(AF37),AF37,IFERROR(VALUE(SUBSTITUTE(SUBSTITUTE(SUBSTITUTE(SUBSTITUTE(SUBSTITUTE(AF37,"(","-"),")",""),"%",""),",","")," ","")),"" ))</f>
        <v>54.83</v>
      </c>
      <c r="CT37" s="12">
        <f t="shared" si="265"/>
        <v>0</v>
      </c>
      <c r="CU37" s="12">
        <f t="shared" si="60"/>
        <v>21722</v>
      </c>
      <c r="CV37" s="12">
        <f t="shared" si="61"/>
        <v>62.78</v>
      </c>
      <c r="CW37" s="12">
        <f t="shared" ref="CW37:DA37" si="266">IF(ISNUMBER(W37),W37,IFERROR(VALUE(SUBSTITUTE(SUBSTITUTE(SUBSTITUTE(SUBSTITUTE(W37,"(","-"),")",""),",","")," ","")),"" ))</f>
        <v>1221.51</v>
      </c>
      <c r="CX37" s="12">
        <f t="shared" si="266"/>
        <v>1031.75</v>
      </c>
      <c r="CY37" s="12">
        <f t="shared" si="266"/>
        <v>224.39</v>
      </c>
      <c r="CZ37" s="12">
        <f t="shared" si="266"/>
        <v>49.52</v>
      </c>
      <c r="DA37" s="12">
        <f t="shared" si="266"/>
        <v>40.62</v>
      </c>
    </row>
    <row r="38" ht="15.75" customHeight="1">
      <c r="A38" s="25">
        <v>37.0</v>
      </c>
      <c r="B38" s="26" t="s">
        <v>154</v>
      </c>
      <c r="C38" s="9" t="s">
        <v>46</v>
      </c>
      <c r="D38" s="10" t="s">
        <v>155</v>
      </c>
      <c r="E38" s="27" t="s">
        <v>156</v>
      </c>
      <c r="F38" s="28">
        <v>257.7</v>
      </c>
      <c r="G38" s="28">
        <v>2155.35</v>
      </c>
      <c r="H38" s="28">
        <v>24.21</v>
      </c>
      <c r="I38" s="28">
        <v>22.81</v>
      </c>
      <c r="J38" s="28">
        <v>5.26</v>
      </c>
      <c r="K38" s="28">
        <v>2.36</v>
      </c>
      <c r="L38" s="28">
        <v>10.43</v>
      </c>
      <c r="M38" s="28">
        <v>18.17</v>
      </c>
      <c r="N38" s="28">
        <v>20.81</v>
      </c>
      <c r="O38" s="28">
        <v>8.66</v>
      </c>
      <c r="P38" s="28">
        <v>7.0</v>
      </c>
      <c r="Q38" s="28">
        <v>6.05</v>
      </c>
      <c r="R38" s="28">
        <v>6.0</v>
      </c>
      <c r="S38" s="28">
        <v>1.26</v>
      </c>
      <c r="T38" s="28">
        <v>117881.0</v>
      </c>
      <c r="U38" s="28">
        <v>205074.0</v>
      </c>
      <c r="V38" s="28">
        <v>0.27</v>
      </c>
      <c r="W38" s="28">
        <v>281.08</v>
      </c>
      <c r="X38" s="28">
        <v>266.9</v>
      </c>
      <c r="Y38" s="28">
        <v>515.13</v>
      </c>
      <c r="Z38" s="28">
        <v>324.45</v>
      </c>
      <c r="AA38" s="28">
        <v>220.94</v>
      </c>
      <c r="AB38" s="28">
        <v>29.25</v>
      </c>
      <c r="AC38" s="28">
        <v>3.73</v>
      </c>
      <c r="AD38" s="28">
        <v>0.31</v>
      </c>
      <c r="AE38" s="28">
        <v>5.2</v>
      </c>
      <c r="AF38" s="28">
        <v>74.21</v>
      </c>
      <c r="AG38" s="28">
        <v>0.0</v>
      </c>
      <c r="AH38" s="29">
        <f t="shared" si="7"/>
        <v>1.061376589</v>
      </c>
      <c r="AI38" s="29">
        <f t="shared" si="8"/>
        <v>2.228813559</v>
      </c>
      <c r="AJ38" s="29">
        <f t="shared" si="9"/>
        <v>0.9655301611</v>
      </c>
      <c r="AK38" s="29">
        <f t="shared" si="10"/>
        <v>0.2390006263</v>
      </c>
      <c r="AL38" s="29">
        <f t="shared" si="11"/>
        <v>0.1505323961</v>
      </c>
      <c r="AM38" s="29">
        <f t="shared" si="12"/>
        <v>0.1025077134</v>
      </c>
      <c r="AN38" s="29">
        <f t="shared" si="13"/>
        <v>0.385</v>
      </c>
      <c r="AO38" s="29">
        <f t="shared" si="14"/>
        <v>0.205</v>
      </c>
      <c r="AP38" s="29">
        <f t="shared" si="15"/>
        <v>0.667</v>
      </c>
      <c r="AQ38" s="29">
        <f t="shared" si="16"/>
        <v>0.41</v>
      </c>
      <c r="AR38" s="29">
        <f t="shared" si="17"/>
        <v>0.462</v>
      </c>
      <c r="AS38" s="29">
        <f t="shared" si="18"/>
        <v>0.231</v>
      </c>
      <c r="AT38" s="29">
        <f t="shared" si="19"/>
        <v>0.064</v>
      </c>
      <c r="AU38" s="29">
        <f t="shared" si="20"/>
        <v>0.394075</v>
      </c>
      <c r="AV38" s="29">
        <f t="shared" si="21"/>
        <v>0.538</v>
      </c>
      <c r="AW38" s="29">
        <f t="shared" si="22"/>
        <v>0.692</v>
      </c>
      <c r="AX38" s="29">
        <f t="shared" si="23"/>
        <v>0.436</v>
      </c>
      <c r="AY38" s="29">
        <f t="shared" si="24"/>
        <v>0</v>
      </c>
      <c r="AZ38" s="29">
        <f t="shared" si="25"/>
        <v>0.897</v>
      </c>
      <c r="BA38" s="29">
        <f t="shared" si="26"/>
        <v>0.4959</v>
      </c>
      <c r="BB38" s="29">
        <f t="shared" si="27"/>
        <v>0.026</v>
      </c>
      <c r="BC38" s="29">
        <f t="shared" si="28"/>
        <v>0.154</v>
      </c>
      <c r="BD38" s="29">
        <f t="shared" si="29"/>
        <v>0.013</v>
      </c>
      <c r="BE38" s="29">
        <f t="shared" si="30"/>
        <v>0.346</v>
      </c>
      <c r="BF38" s="29">
        <f t="shared" si="31"/>
        <v>1</v>
      </c>
      <c r="BG38" s="29">
        <f t="shared" si="32"/>
        <v>0.833</v>
      </c>
      <c r="BH38" s="29">
        <f t="shared" si="33"/>
        <v>0.302</v>
      </c>
      <c r="BI38" s="29">
        <f t="shared" si="34"/>
        <v>0.769</v>
      </c>
      <c r="BJ38" s="29">
        <f t="shared" si="35"/>
        <v>0.936</v>
      </c>
      <c r="BK38" s="29">
        <f t="shared" si="36"/>
        <v>0.128</v>
      </c>
      <c r="BL38" s="29">
        <f t="shared" si="37"/>
        <v>0.76705</v>
      </c>
      <c r="BM38" s="29">
        <f t="shared" si="38"/>
        <v>0.295</v>
      </c>
      <c r="BN38" s="30">
        <f t="shared" si="39"/>
        <v>1</v>
      </c>
      <c r="BO38" s="29">
        <f t="shared" si="40"/>
        <v>0.6475</v>
      </c>
      <c r="BP38" s="29">
        <f t="shared" si="41"/>
        <v>0.436</v>
      </c>
      <c r="BQ38" s="29">
        <f t="shared" si="42"/>
        <v>0.5244</v>
      </c>
      <c r="BR38" s="31" t="str">
        <f t="shared" si="43"/>
        <v>High</v>
      </c>
      <c r="BS38" s="29">
        <f t="shared" si="44"/>
        <v>0.4282525</v>
      </c>
      <c r="BT38" s="31" t="str">
        <f t="shared" si="45"/>
        <v>Y</v>
      </c>
      <c r="BU38" s="31" t="str">
        <f t="shared" si="46"/>
        <v>Y</v>
      </c>
      <c r="BV38" s="31" t="str">
        <f t="shared" si="47"/>
        <v>Y</v>
      </c>
      <c r="BW38" s="31" t="str">
        <f t="shared" si="48"/>
        <v>Y</v>
      </c>
      <c r="BX38" s="31" t="str">
        <f t="shared" si="49"/>
        <v>Y</v>
      </c>
      <c r="BY38" s="30">
        <f t="shared" si="50"/>
        <v>28</v>
      </c>
      <c r="BZ38" s="32" t="str">
        <f t="shared" si="51"/>
        <v/>
      </c>
      <c r="CA38" s="9">
        <f t="shared" ref="CA38:CG38" si="267">IF(ISNUMBER(F38),F38,IFERROR(VALUE(SUBSTITUTE(SUBSTITUTE(SUBSTITUTE(SUBSTITUTE(F38,"(","-"),")",""),",","")," ","")),"" ))</f>
        <v>257.7</v>
      </c>
      <c r="CB38" s="9">
        <f t="shared" si="267"/>
        <v>2155.35</v>
      </c>
      <c r="CC38" s="9">
        <f t="shared" si="267"/>
        <v>24.21</v>
      </c>
      <c r="CD38" s="9">
        <f t="shared" si="267"/>
        <v>22.81</v>
      </c>
      <c r="CE38" s="9">
        <f t="shared" si="267"/>
        <v>5.26</v>
      </c>
      <c r="CF38" s="9">
        <f t="shared" si="267"/>
        <v>2.36</v>
      </c>
      <c r="CG38" s="9">
        <f t="shared" si="267"/>
        <v>10.43</v>
      </c>
      <c r="CH38" s="9">
        <f t="shared" si="53"/>
        <v>29.25</v>
      </c>
      <c r="CI38" s="9">
        <f t="shared" ref="CI38:CK38" si="268">IF(ISNUMBER(M38),M38,IFERROR(VALUE(SUBSTITUTE(SUBSTITUTE(SUBSTITUTE(SUBSTITUTE(SUBSTITUTE(M38,"(","-"),")",""),"%",""),",","")," ","")),"" ))</f>
        <v>18.17</v>
      </c>
      <c r="CJ38" s="9">
        <f t="shared" si="268"/>
        <v>20.81</v>
      </c>
      <c r="CK38" s="9">
        <f t="shared" si="268"/>
        <v>8.66</v>
      </c>
      <c r="CL38" s="9">
        <f t="shared" si="55"/>
        <v>7</v>
      </c>
      <c r="CM38" s="9">
        <f t="shared" si="56"/>
        <v>6.05</v>
      </c>
      <c r="CN38" s="9">
        <f t="shared" ref="CN38:CO38" si="269">IF(ISNUMBER(R38),R38,IFERROR(VALUE(SUBSTITUTE(SUBSTITUTE(SUBSTITUTE(SUBSTITUTE(R38,"(","-"),")",""),",","")," ","")),"" ))</f>
        <v>6</v>
      </c>
      <c r="CO38" s="9">
        <f t="shared" si="269"/>
        <v>1.26</v>
      </c>
      <c r="CP38" s="9">
        <f t="shared" ref="CP38:CR38" si="270">IF(ISNUMBER(AC38),AC38,IFERROR(VALUE(SUBSTITUTE(SUBSTITUTE(SUBSTITUTE(SUBSTITUTE(AC38,"(","-"),")",""),",","")," ","")),"" ))</f>
        <v>3.73</v>
      </c>
      <c r="CQ38" s="9">
        <f t="shared" si="270"/>
        <v>0.31</v>
      </c>
      <c r="CR38" s="9">
        <f t="shared" si="270"/>
        <v>5.2</v>
      </c>
      <c r="CS38" s="9">
        <f t="shared" ref="CS38:CT38" si="271">IF(ISNUMBER(AF38),AF38,IFERROR(VALUE(SUBSTITUTE(SUBSTITUTE(SUBSTITUTE(SUBSTITUTE(SUBSTITUTE(AF38,"(","-"),")",""),"%",""),",","")," ","")),"" ))</f>
        <v>74.21</v>
      </c>
      <c r="CT38" s="9">
        <f t="shared" si="271"/>
        <v>0</v>
      </c>
      <c r="CU38" s="9">
        <f t="shared" si="60"/>
        <v>205074</v>
      </c>
      <c r="CV38" s="9">
        <f t="shared" si="61"/>
        <v>0.27</v>
      </c>
      <c r="CW38" s="9">
        <f t="shared" ref="CW38:DA38" si="272">IF(ISNUMBER(W38),W38,IFERROR(VALUE(SUBSTITUTE(SUBSTITUTE(SUBSTITUTE(SUBSTITUTE(W38,"(","-"),")",""),",","")," ","")),"" ))</f>
        <v>281.08</v>
      </c>
      <c r="CX38" s="9">
        <f t="shared" si="272"/>
        <v>266.9</v>
      </c>
      <c r="CY38" s="9">
        <f t="shared" si="272"/>
        <v>515.13</v>
      </c>
      <c r="CZ38" s="9">
        <f t="shared" si="272"/>
        <v>324.45</v>
      </c>
      <c r="DA38" s="9">
        <f t="shared" si="272"/>
        <v>220.94</v>
      </c>
    </row>
    <row r="39" ht="15.75" customHeight="1">
      <c r="A39" s="33">
        <v>38.0</v>
      </c>
      <c r="B39" s="34" t="s">
        <v>169</v>
      </c>
      <c r="C39" s="12" t="s">
        <v>38</v>
      </c>
      <c r="D39" s="13" t="s">
        <v>170</v>
      </c>
      <c r="E39" s="35" t="s">
        <v>171</v>
      </c>
      <c r="F39" s="36">
        <v>492.85</v>
      </c>
      <c r="G39" s="36">
        <v>3317.63</v>
      </c>
      <c r="H39" s="36">
        <v>24.08</v>
      </c>
      <c r="I39" s="36">
        <v>26.83</v>
      </c>
      <c r="J39" s="36">
        <v>3.32</v>
      </c>
      <c r="K39" s="36">
        <v>2.59</v>
      </c>
      <c r="L39" s="36">
        <v>13.5</v>
      </c>
      <c r="M39" s="36">
        <v>18.07</v>
      </c>
      <c r="N39" s="36">
        <v>15.54</v>
      </c>
      <c r="O39" s="36">
        <v>8.55</v>
      </c>
      <c r="P39" s="36">
        <v>4.0</v>
      </c>
      <c r="Q39" s="36">
        <v>6.31</v>
      </c>
      <c r="R39" s="36">
        <v>6.0</v>
      </c>
      <c r="S39" s="36">
        <v>0.42</v>
      </c>
      <c r="T39" s="36">
        <v>124964.0</v>
      </c>
      <c r="U39" s="36">
        <v>176315.0</v>
      </c>
      <c r="V39" s="36">
        <v>1.7</v>
      </c>
      <c r="W39" s="36">
        <v>514.02</v>
      </c>
      <c r="X39" s="36">
        <v>497.09</v>
      </c>
      <c r="Y39" s="36">
        <v>453.71</v>
      </c>
      <c r="Z39" s="36">
        <v>-6.04</v>
      </c>
      <c r="AA39" s="36">
        <v>-31.39</v>
      </c>
      <c r="AB39" s="36">
        <v>-317.0</v>
      </c>
      <c r="AC39" s="36">
        <v>5.41</v>
      </c>
      <c r="AD39" s="36">
        <v>0.99</v>
      </c>
      <c r="AE39" s="36">
        <v>5.22</v>
      </c>
      <c r="AF39" s="36">
        <v>69.21</v>
      </c>
      <c r="AG39" s="36">
        <v>0.0</v>
      </c>
      <c r="AH39" s="38">
        <f t="shared" si="7"/>
        <v>0.8975027954</v>
      </c>
      <c r="AI39" s="38">
        <f t="shared" si="8"/>
        <v>1.281853282</v>
      </c>
      <c r="AJ39" s="38">
        <f t="shared" si="9"/>
        <v>0.9914703575</v>
      </c>
      <c r="AK39" s="38">
        <f t="shared" si="10"/>
        <v>0.1367572635</v>
      </c>
      <c r="AL39" s="38">
        <f t="shared" si="11"/>
        <v>-0.001820576737</v>
      </c>
      <c r="AM39" s="38">
        <f t="shared" si="12"/>
        <v>-0.009461573473</v>
      </c>
      <c r="AN39" s="38">
        <f t="shared" si="13"/>
        <v>0.397</v>
      </c>
      <c r="AO39" s="38">
        <f t="shared" si="14"/>
        <v>0.551</v>
      </c>
      <c r="AP39" s="38">
        <f t="shared" si="15"/>
        <v>0.385</v>
      </c>
      <c r="AQ39" s="38">
        <f t="shared" si="16"/>
        <v>0.474</v>
      </c>
      <c r="AR39" s="38" t="str">
        <f t="shared" si="17"/>
        <v/>
      </c>
      <c r="AS39" s="38">
        <f t="shared" si="18"/>
        <v>0.462</v>
      </c>
      <c r="AT39" s="38">
        <f t="shared" si="19"/>
        <v>0.474</v>
      </c>
      <c r="AU39" s="38">
        <f t="shared" si="20"/>
        <v>0.4474705882</v>
      </c>
      <c r="AV39" s="38">
        <f t="shared" si="21"/>
        <v>0.526</v>
      </c>
      <c r="AW39" s="38">
        <f t="shared" si="22"/>
        <v>0.462</v>
      </c>
      <c r="AX39" s="38">
        <f t="shared" si="23"/>
        <v>0.41</v>
      </c>
      <c r="AY39" s="38">
        <f t="shared" si="24"/>
        <v>0</v>
      </c>
      <c r="AZ39" s="38">
        <f t="shared" si="25"/>
        <v>0.308</v>
      </c>
      <c r="BA39" s="38">
        <f t="shared" si="26"/>
        <v>0.3265</v>
      </c>
      <c r="BB39" s="38">
        <f t="shared" si="27"/>
        <v>0.359</v>
      </c>
      <c r="BC39" s="38">
        <f t="shared" si="28"/>
        <v>0.282</v>
      </c>
      <c r="BD39" s="38">
        <f t="shared" si="29"/>
        <v>0.333</v>
      </c>
      <c r="BE39" s="38">
        <f t="shared" si="30"/>
        <v>0.359</v>
      </c>
      <c r="BF39" s="38">
        <f t="shared" si="31"/>
        <v>1</v>
      </c>
      <c r="BG39" s="38">
        <f t="shared" si="32"/>
        <v>0.692</v>
      </c>
      <c r="BH39" s="38">
        <f t="shared" si="33"/>
        <v>0.44225</v>
      </c>
      <c r="BI39" s="38">
        <f t="shared" si="34"/>
        <v>0.538</v>
      </c>
      <c r="BJ39" s="38">
        <f t="shared" si="35"/>
        <v>0.526</v>
      </c>
      <c r="BK39" s="38">
        <f t="shared" si="36"/>
        <v>0.244</v>
      </c>
      <c r="BL39" s="38">
        <f t="shared" si="37"/>
        <v>0.7527625</v>
      </c>
      <c r="BM39" s="38">
        <f t="shared" si="38"/>
        <v>0.359</v>
      </c>
      <c r="BN39" s="39">
        <f t="shared" si="39"/>
        <v>1</v>
      </c>
      <c r="BO39" s="38">
        <f t="shared" si="40"/>
        <v>0.6795</v>
      </c>
      <c r="BP39" s="38">
        <f t="shared" si="41"/>
        <v>0.372</v>
      </c>
      <c r="BQ39" s="38">
        <f t="shared" si="42"/>
        <v>0.5797</v>
      </c>
      <c r="BR39" s="40" t="str">
        <f t="shared" si="43"/>
        <v>High</v>
      </c>
      <c r="BS39" s="38" t="str">
        <f t="shared" si="44"/>
        <v/>
      </c>
      <c r="BT39" s="40" t="str">
        <f t="shared" si="45"/>
        <v>Y</v>
      </c>
      <c r="BU39" s="40" t="str">
        <f t="shared" si="46"/>
        <v>Y</v>
      </c>
      <c r="BV39" s="40" t="str">
        <f t="shared" si="47"/>
        <v>Y</v>
      </c>
      <c r="BW39" s="40" t="str">
        <f t="shared" si="48"/>
        <v>Y</v>
      </c>
      <c r="BX39" s="40" t="str">
        <f t="shared" si="49"/>
        <v>Y</v>
      </c>
      <c r="BY39" s="39">
        <f t="shared" si="50"/>
        <v>1</v>
      </c>
      <c r="BZ39" s="41">
        <f t="shared" si="51"/>
        <v>0.04</v>
      </c>
      <c r="CA39" s="12">
        <f t="shared" ref="CA39:CG39" si="273">IF(ISNUMBER(F39),F39,IFERROR(VALUE(SUBSTITUTE(SUBSTITUTE(SUBSTITUTE(SUBSTITUTE(F39,"(","-"),")",""),",","")," ","")),"" ))</f>
        <v>492.85</v>
      </c>
      <c r="CB39" s="12">
        <f t="shared" si="273"/>
        <v>3317.63</v>
      </c>
      <c r="CC39" s="12">
        <f t="shared" si="273"/>
        <v>24.08</v>
      </c>
      <c r="CD39" s="12">
        <f t="shared" si="273"/>
        <v>26.83</v>
      </c>
      <c r="CE39" s="12">
        <f t="shared" si="273"/>
        <v>3.32</v>
      </c>
      <c r="CF39" s="12">
        <f t="shared" si="273"/>
        <v>2.59</v>
      </c>
      <c r="CG39" s="12">
        <f t="shared" si="273"/>
        <v>13.5</v>
      </c>
      <c r="CH39" s="12">
        <f t="shared" si="53"/>
        <v>-317</v>
      </c>
      <c r="CI39" s="12">
        <f t="shared" ref="CI39:CK39" si="274">IF(ISNUMBER(M39),M39,IFERROR(VALUE(SUBSTITUTE(SUBSTITUTE(SUBSTITUTE(SUBSTITUTE(SUBSTITUTE(M39,"(","-"),")",""),"%",""),",","")," ","")),"" ))</f>
        <v>18.07</v>
      </c>
      <c r="CJ39" s="12">
        <f t="shared" si="274"/>
        <v>15.54</v>
      </c>
      <c r="CK39" s="12">
        <f t="shared" si="274"/>
        <v>8.55</v>
      </c>
      <c r="CL39" s="12">
        <f t="shared" si="55"/>
        <v>4</v>
      </c>
      <c r="CM39" s="12">
        <f t="shared" si="56"/>
        <v>6.31</v>
      </c>
      <c r="CN39" s="12">
        <f t="shared" ref="CN39:CO39" si="275">IF(ISNUMBER(R39),R39,IFERROR(VALUE(SUBSTITUTE(SUBSTITUTE(SUBSTITUTE(SUBSTITUTE(R39,"(","-"),")",""),",","")," ","")),"" ))</f>
        <v>6</v>
      </c>
      <c r="CO39" s="12">
        <f t="shared" si="275"/>
        <v>0.42</v>
      </c>
      <c r="CP39" s="12">
        <f t="shared" ref="CP39:CR39" si="276">IF(ISNUMBER(AC39),AC39,IFERROR(VALUE(SUBSTITUTE(SUBSTITUTE(SUBSTITUTE(SUBSTITUTE(AC39,"(","-"),")",""),",","")," ","")),"" ))</f>
        <v>5.41</v>
      </c>
      <c r="CQ39" s="12">
        <f t="shared" si="276"/>
        <v>0.99</v>
      </c>
      <c r="CR39" s="12">
        <f t="shared" si="276"/>
        <v>5.22</v>
      </c>
      <c r="CS39" s="12">
        <f t="shared" ref="CS39:CT39" si="277">IF(ISNUMBER(AF39),AF39,IFERROR(VALUE(SUBSTITUTE(SUBSTITUTE(SUBSTITUTE(SUBSTITUTE(SUBSTITUTE(AF39,"(","-"),")",""),"%",""),",","")," ","")),"" ))</f>
        <v>69.21</v>
      </c>
      <c r="CT39" s="12">
        <f t="shared" si="277"/>
        <v>0</v>
      </c>
      <c r="CU39" s="12">
        <f t="shared" si="60"/>
        <v>176315</v>
      </c>
      <c r="CV39" s="12">
        <f t="shared" si="61"/>
        <v>1.7</v>
      </c>
      <c r="CW39" s="12">
        <f t="shared" ref="CW39:DA39" si="278">IF(ISNUMBER(W39),W39,IFERROR(VALUE(SUBSTITUTE(SUBSTITUTE(SUBSTITUTE(SUBSTITUTE(W39,"(","-"),")",""),",","")," ","")),"" ))</f>
        <v>514.02</v>
      </c>
      <c r="CX39" s="12">
        <f t="shared" si="278"/>
        <v>497.09</v>
      </c>
      <c r="CY39" s="12">
        <f t="shared" si="278"/>
        <v>453.71</v>
      </c>
      <c r="CZ39" s="12">
        <f t="shared" si="278"/>
        <v>-6.04</v>
      </c>
      <c r="DA39" s="12">
        <f t="shared" si="278"/>
        <v>-31.39</v>
      </c>
    </row>
    <row r="40" ht="15.75" customHeight="1">
      <c r="A40" s="25">
        <v>39.0</v>
      </c>
      <c r="B40" s="26" t="s">
        <v>62</v>
      </c>
      <c r="C40" s="9" t="s">
        <v>63</v>
      </c>
      <c r="D40" s="10" t="s">
        <v>64</v>
      </c>
      <c r="E40" s="27" t="s">
        <v>65</v>
      </c>
      <c r="F40" s="28">
        <v>576.75</v>
      </c>
      <c r="G40" s="28">
        <v>16322.1</v>
      </c>
      <c r="H40" s="28">
        <v>18.24</v>
      </c>
      <c r="I40" s="28">
        <v>28.05</v>
      </c>
      <c r="J40" s="28">
        <v>2.01</v>
      </c>
      <c r="K40" s="28">
        <v>1.96</v>
      </c>
      <c r="L40" s="28">
        <v>8.49</v>
      </c>
      <c r="M40" s="28">
        <v>17.17</v>
      </c>
      <c r="N40" s="28">
        <v>15.03</v>
      </c>
      <c r="O40" s="28">
        <v>13.7</v>
      </c>
      <c r="P40" s="28">
        <v>3.0</v>
      </c>
      <c r="Q40" s="28">
        <v>9.36</v>
      </c>
      <c r="R40" s="28">
        <v>8.0</v>
      </c>
      <c r="S40" s="28">
        <v>0.2</v>
      </c>
      <c r="T40" s="28">
        <v>358594.0</v>
      </c>
      <c r="U40" s="28">
        <v>803911.0</v>
      </c>
      <c r="V40" s="28">
        <v>-15.38</v>
      </c>
      <c r="W40" s="28">
        <v>567.86</v>
      </c>
      <c r="X40" s="28">
        <v>562.28</v>
      </c>
      <c r="Y40" s="28">
        <v>7919.86</v>
      </c>
      <c r="Z40" s="28">
        <v>6719.72</v>
      </c>
      <c r="AA40" s="28">
        <v>5449.37</v>
      </c>
      <c r="AB40" s="28">
        <v>8.99</v>
      </c>
      <c r="AC40" s="28">
        <v>157.35</v>
      </c>
      <c r="AD40" s="28">
        <v>6.58</v>
      </c>
      <c r="AE40" s="28">
        <v>4.11</v>
      </c>
      <c r="AF40" s="28">
        <v>50.1</v>
      </c>
      <c r="AG40" s="28">
        <v>0.0</v>
      </c>
      <c r="AH40" s="29">
        <f t="shared" si="7"/>
        <v>0.6502673797</v>
      </c>
      <c r="AI40" s="29">
        <f t="shared" si="8"/>
        <v>1.025510204</v>
      </c>
      <c r="AJ40" s="29">
        <f t="shared" si="9"/>
        <v>1.025734509</v>
      </c>
      <c r="AK40" s="29">
        <f t="shared" si="10"/>
        <v>0.4852231024</v>
      </c>
      <c r="AL40" s="29">
        <f t="shared" si="11"/>
        <v>0.4116945736</v>
      </c>
      <c r="AM40" s="29">
        <f t="shared" si="12"/>
        <v>0.333864515</v>
      </c>
      <c r="AN40" s="29">
        <f t="shared" si="13"/>
        <v>0.654</v>
      </c>
      <c r="AO40" s="29">
        <f t="shared" si="14"/>
        <v>0.859</v>
      </c>
      <c r="AP40" s="29">
        <f t="shared" si="15"/>
        <v>0.795</v>
      </c>
      <c r="AQ40" s="29">
        <f t="shared" si="16"/>
        <v>0.821</v>
      </c>
      <c r="AR40" s="29">
        <f t="shared" si="17"/>
        <v>0.808</v>
      </c>
      <c r="AS40" s="29">
        <f t="shared" si="18"/>
        <v>0.795</v>
      </c>
      <c r="AT40" s="29">
        <f t="shared" si="19"/>
        <v>0.654</v>
      </c>
      <c r="AU40" s="29">
        <f t="shared" si="20"/>
        <v>0.771675</v>
      </c>
      <c r="AV40" s="29">
        <f t="shared" si="21"/>
        <v>0.513</v>
      </c>
      <c r="AW40" s="29">
        <f t="shared" si="22"/>
        <v>0.41</v>
      </c>
      <c r="AX40" s="29">
        <f t="shared" si="23"/>
        <v>0.705</v>
      </c>
      <c r="AY40" s="29">
        <f t="shared" si="24"/>
        <v>0.551</v>
      </c>
      <c r="AZ40" s="29">
        <f t="shared" si="25"/>
        <v>0.128</v>
      </c>
      <c r="BA40" s="29">
        <f t="shared" si="26"/>
        <v>0.4441</v>
      </c>
      <c r="BB40" s="29">
        <f t="shared" si="27"/>
        <v>0.538</v>
      </c>
      <c r="BC40" s="29">
        <f t="shared" si="28"/>
        <v>0.91</v>
      </c>
      <c r="BD40" s="29">
        <f t="shared" si="29"/>
        <v>0.962</v>
      </c>
      <c r="BE40" s="29">
        <f t="shared" si="30"/>
        <v>0.167</v>
      </c>
      <c r="BF40" s="29">
        <f t="shared" si="31"/>
        <v>1</v>
      </c>
      <c r="BG40" s="29">
        <f t="shared" si="32"/>
        <v>0.141</v>
      </c>
      <c r="BH40" s="29">
        <f t="shared" si="33"/>
        <v>0.54995</v>
      </c>
      <c r="BI40" s="29">
        <f t="shared" si="34"/>
        <v>0.205</v>
      </c>
      <c r="BJ40" s="29">
        <f t="shared" si="35"/>
        <v>0.346</v>
      </c>
      <c r="BK40" s="29">
        <f t="shared" si="36"/>
        <v>0.385</v>
      </c>
      <c r="BL40" s="29">
        <f t="shared" si="37"/>
        <v>0.5868375</v>
      </c>
      <c r="BM40" s="29">
        <f t="shared" si="38"/>
        <v>0.013</v>
      </c>
      <c r="BN40" s="30">
        <f t="shared" si="39"/>
        <v>1</v>
      </c>
      <c r="BO40" s="29">
        <f t="shared" si="40"/>
        <v>0.5065</v>
      </c>
      <c r="BP40" s="29">
        <f t="shared" si="41"/>
        <v>0.731</v>
      </c>
      <c r="BQ40" s="29">
        <f t="shared" si="42"/>
        <v>0.5564</v>
      </c>
      <c r="BR40" s="31" t="str">
        <f t="shared" si="43"/>
        <v>High</v>
      </c>
      <c r="BS40" s="29">
        <f t="shared" si="44"/>
        <v>0.532691875</v>
      </c>
      <c r="BT40" s="31" t="str">
        <f t="shared" si="45"/>
        <v>Y</v>
      </c>
      <c r="BU40" s="31" t="str">
        <f t="shared" si="46"/>
        <v>Y</v>
      </c>
      <c r="BV40" s="31" t="str">
        <f t="shared" si="47"/>
        <v>Y</v>
      </c>
      <c r="BW40" s="31" t="str">
        <f t="shared" si="48"/>
        <v>Y</v>
      </c>
      <c r="BX40" s="31" t="str">
        <f t="shared" si="49"/>
        <v>Y</v>
      </c>
      <c r="BY40" s="30">
        <f t="shared" si="50"/>
        <v>16</v>
      </c>
      <c r="BZ40" s="32">
        <f t="shared" si="51"/>
        <v>0.04</v>
      </c>
      <c r="CA40" s="9">
        <f t="shared" ref="CA40:CG40" si="279">IF(ISNUMBER(F40),F40,IFERROR(VALUE(SUBSTITUTE(SUBSTITUTE(SUBSTITUTE(SUBSTITUTE(F40,"(","-"),")",""),",","")," ","")),"" ))</f>
        <v>576.75</v>
      </c>
      <c r="CB40" s="9">
        <f t="shared" si="279"/>
        <v>16322.1</v>
      </c>
      <c r="CC40" s="9">
        <f t="shared" si="279"/>
        <v>18.24</v>
      </c>
      <c r="CD40" s="9">
        <f t="shared" si="279"/>
        <v>28.05</v>
      </c>
      <c r="CE40" s="9">
        <f t="shared" si="279"/>
        <v>2.01</v>
      </c>
      <c r="CF40" s="9">
        <f t="shared" si="279"/>
        <v>1.96</v>
      </c>
      <c r="CG40" s="9">
        <f t="shared" si="279"/>
        <v>8.49</v>
      </c>
      <c r="CH40" s="9">
        <f t="shared" si="53"/>
        <v>8.99</v>
      </c>
      <c r="CI40" s="9">
        <f t="shared" ref="CI40:CK40" si="280">IF(ISNUMBER(M40),M40,IFERROR(VALUE(SUBSTITUTE(SUBSTITUTE(SUBSTITUTE(SUBSTITUTE(SUBSTITUTE(M40,"(","-"),")",""),"%",""),",","")," ","")),"" ))</f>
        <v>17.17</v>
      </c>
      <c r="CJ40" s="9">
        <f t="shared" si="280"/>
        <v>15.03</v>
      </c>
      <c r="CK40" s="9">
        <f t="shared" si="280"/>
        <v>13.7</v>
      </c>
      <c r="CL40" s="9">
        <f t="shared" si="55"/>
        <v>3</v>
      </c>
      <c r="CM40" s="9">
        <f t="shared" si="56"/>
        <v>9.36</v>
      </c>
      <c r="CN40" s="9">
        <f t="shared" ref="CN40:CO40" si="281">IF(ISNUMBER(R40),R40,IFERROR(VALUE(SUBSTITUTE(SUBSTITUTE(SUBSTITUTE(SUBSTITUTE(R40,"(","-"),")",""),",","")," ","")),"" ))</f>
        <v>8</v>
      </c>
      <c r="CO40" s="9">
        <f t="shared" si="281"/>
        <v>0.2</v>
      </c>
      <c r="CP40" s="9">
        <f t="shared" ref="CP40:CR40" si="282">IF(ISNUMBER(AC40),AC40,IFERROR(VALUE(SUBSTITUTE(SUBSTITUTE(SUBSTITUTE(SUBSTITUTE(AC40,"(","-"),")",""),",","")," ","")),"" ))</f>
        <v>157.35</v>
      </c>
      <c r="CQ40" s="9">
        <f t="shared" si="282"/>
        <v>6.58</v>
      </c>
      <c r="CR40" s="9">
        <f t="shared" si="282"/>
        <v>4.11</v>
      </c>
      <c r="CS40" s="9">
        <f t="shared" ref="CS40:CT40" si="283">IF(ISNUMBER(AF40),AF40,IFERROR(VALUE(SUBSTITUTE(SUBSTITUTE(SUBSTITUTE(SUBSTITUTE(SUBSTITUTE(AF40,"(","-"),")",""),"%",""),",","")," ","")),"" ))</f>
        <v>50.1</v>
      </c>
      <c r="CT40" s="9">
        <f t="shared" si="283"/>
        <v>0</v>
      </c>
      <c r="CU40" s="9">
        <f t="shared" si="60"/>
        <v>803911</v>
      </c>
      <c r="CV40" s="9">
        <f t="shared" si="61"/>
        <v>-15.38</v>
      </c>
      <c r="CW40" s="9">
        <f t="shared" ref="CW40:DA40" si="284">IF(ISNUMBER(W40),W40,IFERROR(VALUE(SUBSTITUTE(SUBSTITUTE(SUBSTITUTE(SUBSTITUTE(W40,"(","-"),")",""),",","")," ","")),"" ))</f>
        <v>567.86</v>
      </c>
      <c r="CX40" s="9">
        <f t="shared" si="284"/>
        <v>562.28</v>
      </c>
      <c r="CY40" s="9">
        <f t="shared" si="284"/>
        <v>7919.86</v>
      </c>
      <c r="CZ40" s="9">
        <f t="shared" si="284"/>
        <v>6719.72</v>
      </c>
      <c r="DA40" s="9">
        <f t="shared" si="284"/>
        <v>5449.37</v>
      </c>
    </row>
    <row r="41" ht="15.75" customHeight="1">
      <c r="A41" s="33">
        <v>40.0</v>
      </c>
      <c r="B41" s="34" t="s">
        <v>32</v>
      </c>
      <c r="C41" s="12" t="s">
        <v>33</v>
      </c>
      <c r="D41" s="13" t="s">
        <v>334</v>
      </c>
      <c r="E41" s="35" t="s">
        <v>335</v>
      </c>
      <c r="F41" s="36">
        <v>920.15</v>
      </c>
      <c r="G41" s="36">
        <v>2271.92</v>
      </c>
      <c r="H41" s="36">
        <v>23.37</v>
      </c>
      <c r="I41" s="36">
        <v>27.72</v>
      </c>
      <c r="J41" s="36">
        <v>2.93</v>
      </c>
      <c r="K41" s="36">
        <v>3.06</v>
      </c>
      <c r="L41" s="36">
        <v>12.13</v>
      </c>
      <c r="M41" s="36">
        <v>17.0</v>
      </c>
      <c r="N41" s="36">
        <v>13.18</v>
      </c>
      <c r="O41" s="36">
        <v>10.77</v>
      </c>
      <c r="P41" s="36">
        <v>5.0</v>
      </c>
      <c r="Q41" s="36">
        <v>8.12</v>
      </c>
      <c r="R41" s="36">
        <v>8.0</v>
      </c>
      <c r="S41" s="36">
        <v>0.01</v>
      </c>
      <c r="T41" s="36">
        <v>21655.0</v>
      </c>
      <c r="U41" s="36">
        <v>16730.0</v>
      </c>
      <c r="V41" s="36">
        <v>-1.26</v>
      </c>
      <c r="W41" s="36">
        <v>842.05</v>
      </c>
      <c r="X41" s="36">
        <v>867.39</v>
      </c>
      <c r="Y41" s="36">
        <v>202.23</v>
      </c>
      <c r="Z41" s="36">
        <v>202.03</v>
      </c>
      <c r="AA41" s="36">
        <v>233.16</v>
      </c>
      <c r="AB41" s="36">
        <v>29.24</v>
      </c>
      <c r="AC41" s="36">
        <v>102.84</v>
      </c>
      <c r="AD41" s="36">
        <v>5.21</v>
      </c>
      <c r="AE41" s="36">
        <v>6.72</v>
      </c>
      <c r="AF41" s="36">
        <v>70.68</v>
      </c>
      <c r="AG41" s="36">
        <v>0.0</v>
      </c>
      <c r="AH41" s="38">
        <f t="shared" si="7"/>
        <v>0.8430735931</v>
      </c>
      <c r="AI41" s="38">
        <f t="shared" si="8"/>
        <v>0.9575163399</v>
      </c>
      <c r="AJ41" s="38">
        <f t="shared" si="9"/>
        <v>1.060826157</v>
      </c>
      <c r="AK41" s="38">
        <f t="shared" si="10"/>
        <v>0.08901281735</v>
      </c>
      <c r="AL41" s="38">
        <f t="shared" si="11"/>
        <v>0.08892478608</v>
      </c>
      <c r="AM41" s="38">
        <f t="shared" si="12"/>
        <v>0.1026268531</v>
      </c>
      <c r="AN41" s="38">
        <f t="shared" si="13"/>
        <v>0.423</v>
      </c>
      <c r="AO41" s="38">
        <f t="shared" si="14"/>
        <v>0.654</v>
      </c>
      <c r="AP41" s="38">
        <f t="shared" si="15"/>
        <v>0.5</v>
      </c>
      <c r="AQ41" s="38">
        <f t="shared" si="16"/>
        <v>0.769</v>
      </c>
      <c r="AR41" s="38">
        <f t="shared" si="17"/>
        <v>0.474</v>
      </c>
      <c r="AS41" s="38">
        <f t="shared" si="18"/>
        <v>0.538</v>
      </c>
      <c r="AT41" s="38">
        <f t="shared" si="19"/>
        <v>0.718</v>
      </c>
      <c r="AU41" s="38">
        <f t="shared" si="20"/>
        <v>0.56335</v>
      </c>
      <c r="AV41" s="38">
        <f t="shared" si="21"/>
        <v>0.5</v>
      </c>
      <c r="AW41" s="38">
        <f t="shared" si="22"/>
        <v>0.244</v>
      </c>
      <c r="AX41" s="38">
        <f t="shared" si="23"/>
        <v>0.603</v>
      </c>
      <c r="AY41" s="38">
        <f t="shared" si="24"/>
        <v>0.551</v>
      </c>
      <c r="AZ41" s="38">
        <f t="shared" si="25"/>
        <v>0.577</v>
      </c>
      <c r="BA41" s="38">
        <f t="shared" si="26"/>
        <v>0.48725</v>
      </c>
      <c r="BB41" s="38">
        <f t="shared" si="27"/>
        <v>0.897</v>
      </c>
      <c r="BC41" s="38">
        <f t="shared" si="28"/>
        <v>0.872</v>
      </c>
      <c r="BD41" s="38">
        <f t="shared" si="29"/>
        <v>0.923</v>
      </c>
      <c r="BE41" s="38">
        <f t="shared" si="30"/>
        <v>0.641</v>
      </c>
      <c r="BF41" s="38">
        <f t="shared" si="31"/>
        <v>1</v>
      </c>
      <c r="BG41" s="38">
        <f t="shared" si="32"/>
        <v>0.744</v>
      </c>
      <c r="BH41" s="38">
        <f t="shared" si="33"/>
        <v>0.82685</v>
      </c>
      <c r="BI41" s="38">
        <f t="shared" si="34"/>
        <v>0.462</v>
      </c>
      <c r="BJ41" s="38">
        <f t="shared" si="35"/>
        <v>0.282</v>
      </c>
      <c r="BK41" s="38">
        <f t="shared" si="36"/>
        <v>0.526</v>
      </c>
      <c r="BL41" s="38">
        <f t="shared" si="37"/>
        <v>0.8671125</v>
      </c>
      <c r="BM41" s="38">
        <f t="shared" si="38"/>
        <v>0.244</v>
      </c>
      <c r="BN41" s="39">
        <f t="shared" si="39"/>
        <v>1</v>
      </c>
      <c r="BO41" s="38">
        <f t="shared" si="40"/>
        <v>0.622</v>
      </c>
      <c r="BP41" s="38">
        <f t="shared" si="41"/>
        <v>0.064</v>
      </c>
      <c r="BQ41" s="38">
        <f t="shared" si="42"/>
        <v>0.4138</v>
      </c>
      <c r="BR41" s="40" t="str">
        <f t="shared" si="43"/>
        <v>High</v>
      </c>
      <c r="BS41" s="38">
        <f t="shared" si="44"/>
        <v>0.508105625</v>
      </c>
      <c r="BT41" s="40" t="str">
        <f t="shared" si="45"/>
        <v>N</v>
      </c>
      <c r="BU41" s="40" t="str">
        <f t="shared" si="46"/>
        <v>Y</v>
      </c>
      <c r="BV41" s="40" t="str">
        <f t="shared" si="47"/>
        <v>Y</v>
      </c>
      <c r="BW41" s="40" t="str">
        <f t="shared" si="48"/>
        <v>Y</v>
      </c>
      <c r="BX41" s="40" t="str">
        <f t="shared" si="49"/>
        <v>N</v>
      </c>
      <c r="BY41" s="39" t="str">
        <f t="shared" si="50"/>
        <v/>
      </c>
      <c r="BZ41" s="41" t="str">
        <f t="shared" si="51"/>
        <v/>
      </c>
      <c r="CA41" s="12">
        <f t="shared" ref="CA41:CG41" si="285">IF(ISNUMBER(F41),F41,IFERROR(VALUE(SUBSTITUTE(SUBSTITUTE(SUBSTITUTE(SUBSTITUTE(F41,"(","-"),")",""),",","")," ","")),"" ))</f>
        <v>920.15</v>
      </c>
      <c r="CB41" s="12">
        <f t="shared" si="285"/>
        <v>2271.92</v>
      </c>
      <c r="CC41" s="12">
        <f t="shared" si="285"/>
        <v>23.37</v>
      </c>
      <c r="CD41" s="12">
        <f t="shared" si="285"/>
        <v>27.72</v>
      </c>
      <c r="CE41" s="12">
        <f t="shared" si="285"/>
        <v>2.93</v>
      </c>
      <c r="CF41" s="12">
        <f t="shared" si="285"/>
        <v>3.06</v>
      </c>
      <c r="CG41" s="12">
        <f t="shared" si="285"/>
        <v>12.13</v>
      </c>
      <c r="CH41" s="12">
        <f t="shared" si="53"/>
        <v>29.24</v>
      </c>
      <c r="CI41" s="12">
        <f t="shared" ref="CI41:CK41" si="286">IF(ISNUMBER(M41),M41,IFERROR(VALUE(SUBSTITUTE(SUBSTITUTE(SUBSTITUTE(SUBSTITUTE(SUBSTITUTE(M41,"(","-"),")",""),"%",""),",","")," ","")),"" ))</f>
        <v>17</v>
      </c>
      <c r="CJ41" s="12">
        <f t="shared" si="286"/>
        <v>13.18</v>
      </c>
      <c r="CK41" s="12">
        <f t="shared" si="286"/>
        <v>10.77</v>
      </c>
      <c r="CL41" s="12">
        <f t="shared" si="55"/>
        <v>5</v>
      </c>
      <c r="CM41" s="12">
        <f t="shared" si="56"/>
        <v>8.12</v>
      </c>
      <c r="CN41" s="12">
        <f t="shared" ref="CN41:CO41" si="287">IF(ISNUMBER(R41),R41,IFERROR(VALUE(SUBSTITUTE(SUBSTITUTE(SUBSTITUTE(SUBSTITUTE(R41,"(","-"),")",""),",","")," ","")),"" ))</f>
        <v>8</v>
      </c>
      <c r="CO41" s="12">
        <f t="shared" si="287"/>
        <v>0.01</v>
      </c>
      <c r="CP41" s="12">
        <f t="shared" ref="CP41:CR41" si="288">IF(ISNUMBER(AC41),AC41,IFERROR(VALUE(SUBSTITUTE(SUBSTITUTE(SUBSTITUTE(SUBSTITUTE(AC41,"(","-"),")",""),",","")," ","")),"" ))</f>
        <v>102.84</v>
      </c>
      <c r="CQ41" s="12">
        <f t="shared" si="288"/>
        <v>5.21</v>
      </c>
      <c r="CR41" s="12">
        <f t="shared" si="288"/>
        <v>6.72</v>
      </c>
      <c r="CS41" s="12">
        <f t="shared" ref="CS41:CT41" si="289">IF(ISNUMBER(AF41),AF41,IFERROR(VALUE(SUBSTITUTE(SUBSTITUTE(SUBSTITUTE(SUBSTITUTE(SUBSTITUTE(AF41,"(","-"),")",""),"%",""),",","")," ","")),"" ))</f>
        <v>70.68</v>
      </c>
      <c r="CT41" s="12">
        <f t="shared" si="289"/>
        <v>0</v>
      </c>
      <c r="CU41" s="12">
        <f t="shared" si="60"/>
        <v>16730</v>
      </c>
      <c r="CV41" s="12">
        <f t="shared" si="61"/>
        <v>-1.26</v>
      </c>
      <c r="CW41" s="12">
        <f t="shared" ref="CW41:DA41" si="290">IF(ISNUMBER(W41),W41,IFERROR(VALUE(SUBSTITUTE(SUBSTITUTE(SUBSTITUTE(SUBSTITUTE(W41,"(","-"),")",""),",","")," ","")),"" ))</f>
        <v>842.05</v>
      </c>
      <c r="CX41" s="12">
        <f t="shared" si="290"/>
        <v>867.39</v>
      </c>
      <c r="CY41" s="12">
        <f t="shared" si="290"/>
        <v>202.23</v>
      </c>
      <c r="CZ41" s="12">
        <f t="shared" si="290"/>
        <v>202.03</v>
      </c>
      <c r="DA41" s="12">
        <f t="shared" si="290"/>
        <v>233.16</v>
      </c>
    </row>
    <row r="42" ht="15.75" customHeight="1">
      <c r="A42" s="25">
        <v>41.0</v>
      </c>
      <c r="B42" s="26" t="s">
        <v>336</v>
      </c>
      <c r="C42" s="9" t="s">
        <v>315</v>
      </c>
      <c r="D42" s="10" t="s">
        <v>337</v>
      </c>
      <c r="E42" s="27" t="s">
        <v>338</v>
      </c>
      <c r="F42" s="28">
        <v>2032.2</v>
      </c>
      <c r="G42" s="28">
        <v>203833.07</v>
      </c>
      <c r="H42" s="28">
        <v>82.22</v>
      </c>
      <c r="I42" s="28">
        <v>81.48</v>
      </c>
      <c r="J42" s="28">
        <v>10.72</v>
      </c>
      <c r="K42" s="28">
        <v>8.68</v>
      </c>
      <c r="L42" s="28">
        <v>73.95</v>
      </c>
      <c r="M42" s="28">
        <v>16.88</v>
      </c>
      <c r="N42" s="28">
        <v>15.13</v>
      </c>
      <c r="O42" s="28">
        <v>0.56</v>
      </c>
      <c r="P42" s="28">
        <v>3.0</v>
      </c>
      <c r="Q42" s="28">
        <v>1.35</v>
      </c>
      <c r="R42" s="28">
        <v>6.0</v>
      </c>
      <c r="S42" s="28">
        <v>0.0</v>
      </c>
      <c r="T42" s="28">
        <v>1028351.0</v>
      </c>
      <c r="U42" s="28">
        <v>1068465.0</v>
      </c>
      <c r="V42" s="28">
        <v>13.46</v>
      </c>
      <c r="W42" s="28">
        <v>2033.4</v>
      </c>
      <c r="X42" s="28">
        <v>1904.87</v>
      </c>
      <c r="Y42" s="28">
        <v>129054.14</v>
      </c>
      <c r="Z42" s="28">
        <v>128577.72</v>
      </c>
      <c r="AA42" s="28">
        <v>83029.43</v>
      </c>
      <c r="AB42" s="28">
        <v>7.36</v>
      </c>
      <c r="AC42" s="42"/>
      <c r="AD42" s="28">
        <v>0.97</v>
      </c>
      <c r="AE42" s="28">
        <v>0.95</v>
      </c>
      <c r="AF42" s="28">
        <v>55.34</v>
      </c>
      <c r="AG42" s="28">
        <v>0.0</v>
      </c>
      <c r="AH42" s="29">
        <f t="shared" si="7"/>
        <v>1.009081983</v>
      </c>
      <c r="AI42" s="29">
        <f t="shared" si="8"/>
        <v>1.235023041</v>
      </c>
      <c r="AJ42" s="29">
        <f t="shared" si="9"/>
        <v>1.066844457</v>
      </c>
      <c r="AK42" s="29">
        <f t="shared" si="10"/>
        <v>0.6331364189</v>
      </c>
      <c r="AL42" s="29">
        <f t="shared" si="11"/>
        <v>0.6307991142</v>
      </c>
      <c r="AM42" s="29">
        <f t="shared" si="12"/>
        <v>0.40734033</v>
      </c>
      <c r="AN42" s="29">
        <f t="shared" si="13"/>
        <v>0</v>
      </c>
      <c r="AO42" s="29">
        <f t="shared" si="14"/>
        <v>0.026</v>
      </c>
      <c r="AP42" s="29">
        <f t="shared" si="15"/>
        <v>0</v>
      </c>
      <c r="AQ42" s="29">
        <f t="shared" si="16"/>
        <v>0</v>
      </c>
      <c r="AR42" s="29">
        <f t="shared" si="17"/>
        <v>0.833</v>
      </c>
      <c r="AS42" s="29">
        <f t="shared" si="18"/>
        <v>0.269</v>
      </c>
      <c r="AT42" s="29">
        <f t="shared" si="19"/>
        <v>0.526</v>
      </c>
      <c r="AU42" s="29">
        <f t="shared" si="20"/>
        <v>0.188475</v>
      </c>
      <c r="AV42" s="29">
        <f t="shared" si="21"/>
        <v>0.487</v>
      </c>
      <c r="AW42" s="29">
        <f t="shared" si="22"/>
        <v>0.436</v>
      </c>
      <c r="AX42" s="29">
        <f t="shared" si="23"/>
        <v>0</v>
      </c>
      <c r="AY42" s="29">
        <f t="shared" si="24"/>
        <v>0</v>
      </c>
      <c r="AZ42" s="29">
        <f t="shared" si="25"/>
        <v>0.128</v>
      </c>
      <c r="BA42" s="29">
        <f t="shared" si="26"/>
        <v>0.23455</v>
      </c>
      <c r="BB42" s="29">
        <f t="shared" si="27"/>
        <v>1</v>
      </c>
      <c r="BC42" s="29" t="str">
        <f t="shared" si="28"/>
        <v/>
      </c>
      <c r="BD42" s="29">
        <f t="shared" si="29"/>
        <v>0.295</v>
      </c>
      <c r="BE42" s="29">
        <f t="shared" si="30"/>
        <v>0</v>
      </c>
      <c r="BF42" s="29">
        <f t="shared" si="31"/>
        <v>1</v>
      </c>
      <c r="BG42" s="29">
        <f t="shared" si="32"/>
        <v>0.256</v>
      </c>
      <c r="BH42" s="29">
        <f t="shared" si="33"/>
        <v>0.5354117647</v>
      </c>
      <c r="BI42" s="29">
        <f t="shared" si="34"/>
        <v>0.731</v>
      </c>
      <c r="BJ42" s="29">
        <f t="shared" si="35"/>
        <v>0.474</v>
      </c>
      <c r="BK42" s="29">
        <f t="shared" si="36"/>
        <v>0.564</v>
      </c>
      <c r="BL42" s="29">
        <f t="shared" si="37"/>
        <v>0.6234529412</v>
      </c>
      <c r="BM42" s="29">
        <f t="shared" si="38"/>
        <v>0.628</v>
      </c>
      <c r="BN42" s="30">
        <f t="shared" si="39"/>
        <v>1</v>
      </c>
      <c r="BO42" s="29">
        <f t="shared" si="40"/>
        <v>0.814</v>
      </c>
      <c r="BP42" s="29">
        <f t="shared" si="41"/>
        <v>0.769</v>
      </c>
      <c r="BQ42" s="29">
        <f t="shared" si="42"/>
        <v>0.8538</v>
      </c>
      <c r="BR42" s="31" t="str">
        <f t="shared" si="43"/>
        <v>High</v>
      </c>
      <c r="BS42" s="29">
        <f t="shared" si="44"/>
        <v>0.3574726471</v>
      </c>
      <c r="BT42" s="31" t="str">
        <f t="shared" si="45"/>
        <v>Y</v>
      </c>
      <c r="BU42" s="31" t="str">
        <f t="shared" si="46"/>
        <v>N</v>
      </c>
      <c r="BV42" s="31" t="str">
        <f t="shared" si="47"/>
        <v>Y</v>
      </c>
      <c r="BW42" s="31" t="str">
        <f t="shared" si="48"/>
        <v>N</v>
      </c>
      <c r="BX42" s="31" t="str">
        <f t="shared" si="49"/>
        <v>N</v>
      </c>
      <c r="BY42" s="30" t="str">
        <f t="shared" si="50"/>
        <v/>
      </c>
      <c r="BZ42" s="32" t="str">
        <f t="shared" si="51"/>
        <v/>
      </c>
      <c r="CA42" s="9">
        <f t="shared" ref="CA42:CG42" si="291">IF(ISNUMBER(F42),F42,IFERROR(VALUE(SUBSTITUTE(SUBSTITUTE(SUBSTITUTE(SUBSTITUTE(F42,"(","-"),")",""),",","")," ","")),"" ))</f>
        <v>2032.2</v>
      </c>
      <c r="CB42" s="9">
        <f t="shared" si="291"/>
        <v>203833.07</v>
      </c>
      <c r="CC42" s="9">
        <f t="shared" si="291"/>
        <v>82.22</v>
      </c>
      <c r="CD42" s="9">
        <f t="shared" si="291"/>
        <v>81.48</v>
      </c>
      <c r="CE42" s="9">
        <f t="shared" si="291"/>
        <v>10.72</v>
      </c>
      <c r="CF42" s="9">
        <f t="shared" si="291"/>
        <v>8.68</v>
      </c>
      <c r="CG42" s="9">
        <f t="shared" si="291"/>
        <v>73.95</v>
      </c>
      <c r="CH42" s="9">
        <f t="shared" si="53"/>
        <v>7.36</v>
      </c>
      <c r="CI42" s="9">
        <f t="shared" ref="CI42:CK42" si="292">IF(ISNUMBER(M42),M42,IFERROR(VALUE(SUBSTITUTE(SUBSTITUTE(SUBSTITUTE(SUBSTITUTE(SUBSTITUTE(M42,"(","-"),")",""),"%",""),",","")," ","")),"" ))</f>
        <v>16.88</v>
      </c>
      <c r="CJ42" s="9">
        <f t="shared" si="292"/>
        <v>15.13</v>
      </c>
      <c r="CK42" s="9">
        <f t="shared" si="292"/>
        <v>0.56</v>
      </c>
      <c r="CL42" s="9">
        <f t="shared" si="55"/>
        <v>3</v>
      </c>
      <c r="CM42" s="9">
        <f t="shared" si="56"/>
        <v>1.35</v>
      </c>
      <c r="CN42" s="9">
        <f t="shared" ref="CN42:CO42" si="293">IF(ISNUMBER(R42),R42,IFERROR(VALUE(SUBSTITUTE(SUBSTITUTE(SUBSTITUTE(SUBSTITUTE(R42,"(","-"),")",""),",","")," ","")),"" ))</f>
        <v>6</v>
      </c>
      <c r="CO42" s="9">
        <f t="shared" si="293"/>
        <v>0</v>
      </c>
      <c r="CP42" s="9">
        <f t="shared" ref="CP42:CR42" si="294">IF(ISNUMBER(AC42),AC42,IFERROR(VALUE(SUBSTITUTE(SUBSTITUTE(SUBSTITUTE(SUBSTITUTE(AC42,"(","-"),")",""),",","")," ","")),"" ))</f>
        <v>0</v>
      </c>
      <c r="CQ42" s="9">
        <f t="shared" si="294"/>
        <v>0.97</v>
      </c>
      <c r="CR42" s="9">
        <f t="shared" si="294"/>
        <v>0.95</v>
      </c>
      <c r="CS42" s="9">
        <f t="shared" ref="CS42:CT42" si="295">IF(ISNUMBER(AF42),AF42,IFERROR(VALUE(SUBSTITUTE(SUBSTITUTE(SUBSTITUTE(SUBSTITUTE(SUBSTITUTE(AF42,"(","-"),")",""),"%",""),",","")," ","")),"" ))</f>
        <v>55.34</v>
      </c>
      <c r="CT42" s="9">
        <f t="shared" si="295"/>
        <v>0</v>
      </c>
      <c r="CU42" s="9">
        <f t="shared" si="60"/>
        <v>1068465</v>
      </c>
      <c r="CV42" s="9">
        <f t="shared" si="61"/>
        <v>13.46</v>
      </c>
      <c r="CW42" s="9">
        <f t="shared" ref="CW42:DA42" si="296">IF(ISNUMBER(W42),W42,IFERROR(VALUE(SUBSTITUTE(SUBSTITUTE(SUBSTITUTE(SUBSTITUTE(W42,"(","-"),")",""),",","")," ","")),"" ))</f>
        <v>2033.4</v>
      </c>
      <c r="CX42" s="9">
        <f t="shared" si="296"/>
        <v>1904.87</v>
      </c>
      <c r="CY42" s="9">
        <f t="shared" si="296"/>
        <v>129054.14</v>
      </c>
      <c r="CZ42" s="9">
        <f t="shared" si="296"/>
        <v>128577.72</v>
      </c>
      <c r="DA42" s="9">
        <f t="shared" si="296"/>
        <v>83029.43</v>
      </c>
    </row>
    <row r="43" ht="15.75" customHeight="1">
      <c r="A43" s="33">
        <v>42.0</v>
      </c>
      <c r="B43" s="34" t="s">
        <v>116</v>
      </c>
      <c r="C43" s="12" t="s">
        <v>67</v>
      </c>
      <c r="D43" s="13" t="s">
        <v>117</v>
      </c>
      <c r="E43" s="35" t="s">
        <v>118</v>
      </c>
      <c r="F43" s="36">
        <v>178.02</v>
      </c>
      <c r="G43" s="36">
        <v>1726.07</v>
      </c>
      <c r="H43" s="36">
        <v>22.54</v>
      </c>
      <c r="I43" s="36">
        <v>22.02</v>
      </c>
      <c r="J43" s="36">
        <v>4.69</v>
      </c>
      <c r="K43" s="36">
        <v>3.25</v>
      </c>
      <c r="L43" s="36">
        <v>13.21</v>
      </c>
      <c r="M43" s="36">
        <v>16.81</v>
      </c>
      <c r="N43" s="36">
        <v>12.37</v>
      </c>
      <c r="O43" s="36">
        <v>9.84</v>
      </c>
      <c r="P43" s="36">
        <v>4.0</v>
      </c>
      <c r="Q43" s="36">
        <v>6.09</v>
      </c>
      <c r="R43" s="36">
        <v>8.0</v>
      </c>
      <c r="S43" s="36">
        <v>0.04</v>
      </c>
      <c r="T43" s="36">
        <v>1512864.0</v>
      </c>
      <c r="U43" s="36">
        <v>214256.0</v>
      </c>
      <c r="V43" s="36">
        <v>19.21</v>
      </c>
      <c r="W43" s="36">
        <v>204.07</v>
      </c>
      <c r="X43" s="36">
        <v>161.1</v>
      </c>
      <c r="Y43" s="36">
        <v>287.27</v>
      </c>
      <c r="Z43" s="36">
        <v>266.45</v>
      </c>
      <c r="AA43" s="36">
        <v>158.75</v>
      </c>
      <c r="AB43" s="36">
        <v>32.63</v>
      </c>
      <c r="AC43" s="36">
        <v>69.44</v>
      </c>
      <c r="AD43" s="36">
        <v>9.84</v>
      </c>
      <c r="AE43" s="36">
        <v>10.0</v>
      </c>
      <c r="AF43" s="36">
        <v>74.4</v>
      </c>
      <c r="AG43" s="36">
        <v>0.0</v>
      </c>
      <c r="AH43" s="38">
        <f t="shared" si="7"/>
        <v>1.023614896</v>
      </c>
      <c r="AI43" s="38">
        <f t="shared" si="8"/>
        <v>1.443076923</v>
      </c>
      <c r="AJ43" s="38">
        <f t="shared" si="9"/>
        <v>1.105027933</v>
      </c>
      <c r="AK43" s="38">
        <f t="shared" si="10"/>
        <v>0.1664300984</v>
      </c>
      <c r="AL43" s="38">
        <f t="shared" si="11"/>
        <v>0.1543680152</v>
      </c>
      <c r="AM43" s="38">
        <f t="shared" si="12"/>
        <v>0.09197193625</v>
      </c>
      <c r="AN43" s="38">
        <f t="shared" si="13"/>
        <v>0.462</v>
      </c>
      <c r="AO43" s="38">
        <f t="shared" si="14"/>
        <v>0.256</v>
      </c>
      <c r="AP43" s="38">
        <f t="shared" si="15"/>
        <v>0.397</v>
      </c>
      <c r="AQ43" s="38">
        <f t="shared" si="16"/>
        <v>0.423</v>
      </c>
      <c r="AR43" s="38">
        <f t="shared" si="17"/>
        <v>0.423</v>
      </c>
      <c r="AS43" s="38">
        <f t="shared" si="18"/>
        <v>0.256</v>
      </c>
      <c r="AT43" s="38">
        <f t="shared" si="19"/>
        <v>0.449</v>
      </c>
      <c r="AU43" s="38">
        <f t="shared" si="20"/>
        <v>0.389975</v>
      </c>
      <c r="AV43" s="38">
        <f t="shared" si="21"/>
        <v>0.474</v>
      </c>
      <c r="AW43" s="38">
        <f t="shared" si="22"/>
        <v>0.141</v>
      </c>
      <c r="AX43" s="38">
        <f t="shared" si="23"/>
        <v>0.538</v>
      </c>
      <c r="AY43" s="38">
        <f t="shared" si="24"/>
        <v>0.551</v>
      </c>
      <c r="AZ43" s="38">
        <f t="shared" si="25"/>
        <v>0.308</v>
      </c>
      <c r="BA43" s="38">
        <f t="shared" si="26"/>
        <v>0.39985</v>
      </c>
      <c r="BB43" s="38">
        <f t="shared" si="27"/>
        <v>0.744</v>
      </c>
      <c r="BC43" s="38">
        <f t="shared" si="28"/>
        <v>0.795</v>
      </c>
      <c r="BD43" s="38">
        <f t="shared" si="29"/>
        <v>0.987</v>
      </c>
      <c r="BE43" s="38">
        <f t="shared" si="30"/>
        <v>0.974</v>
      </c>
      <c r="BF43" s="38">
        <f t="shared" si="31"/>
        <v>1</v>
      </c>
      <c r="BG43" s="38">
        <f t="shared" si="32"/>
        <v>0.872</v>
      </c>
      <c r="BH43" s="38">
        <f t="shared" si="33"/>
        <v>0.87185</v>
      </c>
      <c r="BI43" s="38">
        <f t="shared" si="34"/>
        <v>0.744</v>
      </c>
      <c r="BJ43" s="38">
        <f t="shared" si="35"/>
        <v>0.551</v>
      </c>
      <c r="BK43" s="38">
        <f t="shared" si="36"/>
        <v>0.705</v>
      </c>
      <c r="BL43" s="38">
        <f t="shared" si="37"/>
        <v>0.9231625</v>
      </c>
      <c r="BM43" s="38">
        <f t="shared" si="38"/>
        <v>0.744</v>
      </c>
      <c r="BN43" s="39">
        <f t="shared" si="39"/>
        <v>1</v>
      </c>
      <c r="BO43" s="38">
        <f t="shared" si="40"/>
        <v>0.872</v>
      </c>
      <c r="BP43" s="38">
        <f t="shared" si="41"/>
        <v>0.462</v>
      </c>
      <c r="BQ43" s="38">
        <f t="shared" si="42"/>
        <v>0.29</v>
      </c>
      <c r="BR43" s="40" t="str">
        <f t="shared" si="43"/>
        <v>High</v>
      </c>
      <c r="BS43" s="38">
        <f t="shared" si="44"/>
        <v>0.569058125</v>
      </c>
      <c r="BT43" s="40" t="str">
        <f t="shared" si="45"/>
        <v>Y</v>
      </c>
      <c r="BU43" s="40" t="str">
        <f t="shared" si="46"/>
        <v>Y</v>
      </c>
      <c r="BV43" s="40" t="str">
        <f t="shared" si="47"/>
        <v>Y</v>
      </c>
      <c r="BW43" s="40" t="str">
        <f t="shared" si="48"/>
        <v>Y</v>
      </c>
      <c r="BX43" s="40" t="str">
        <f t="shared" si="49"/>
        <v>Y</v>
      </c>
      <c r="BY43" s="39">
        <f t="shared" si="50"/>
        <v>9</v>
      </c>
      <c r="BZ43" s="41">
        <f t="shared" si="51"/>
        <v>0.04</v>
      </c>
      <c r="CA43" s="12">
        <f t="shared" ref="CA43:CG43" si="297">IF(ISNUMBER(F43),F43,IFERROR(VALUE(SUBSTITUTE(SUBSTITUTE(SUBSTITUTE(SUBSTITUTE(F43,"(","-"),")",""),",","")," ","")),"" ))</f>
        <v>178.02</v>
      </c>
      <c r="CB43" s="12">
        <f t="shared" si="297"/>
        <v>1726.07</v>
      </c>
      <c r="CC43" s="12">
        <f t="shared" si="297"/>
        <v>22.54</v>
      </c>
      <c r="CD43" s="12">
        <f t="shared" si="297"/>
        <v>22.02</v>
      </c>
      <c r="CE43" s="12">
        <f t="shared" si="297"/>
        <v>4.69</v>
      </c>
      <c r="CF43" s="12">
        <f t="shared" si="297"/>
        <v>3.25</v>
      </c>
      <c r="CG43" s="12">
        <f t="shared" si="297"/>
        <v>13.21</v>
      </c>
      <c r="CH43" s="12">
        <f t="shared" si="53"/>
        <v>32.63</v>
      </c>
      <c r="CI43" s="12">
        <f t="shared" ref="CI43:CK43" si="298">IF(ISNUMBER(M43),M43,IFERROR(VALUE(SUBSTITUTE(SUBSTITUTE(SUBSTITUTE(SUBSTITUTE(SUBSTITUTE(M43,"(","-"),")",""),"%",""),",","")," ","")),"" ))</f>
        <v>16.81</v>
      </c>
      <c r="CJ43" s="12">
        <f t="shared" si="298"/>
        <v>12.37</v>
      </c>
      <c r="CK43" s="12">
        <f t="shared" si="298"/>
        <v>9.84</v>
      </c>
      <c r="CL43" s="12">
        <f t="shared" si="55"/>
        <v>4</v>
      </c>
      <c r="CM43" s="12">
        <f t="shared" si="56"/>
        <v>6.09</v>
      </c>
      <c r="CN43" s="12">
        <f t="shared" ref="CN43:CO43" si="299">IF(ISNUMBER(R43),R43,IFERROR(VALUE(SUBSTITUTE(SUBSTITUTE(SUBSTITUTE(SUBSTITUTE(R43,"(","-"),")",""),",","")," ","")),"" ))</f>
        <v>8</v>
      </c>
      <c r="CO43" s="12">
        <f t="shared" si="299"/>
        <v>0.04</v>
      </c>
      <c r="CP43" s="12">
        <f t="shared" ref="CP43:CR43" si="300">IF(ISNUMBER(AC43),AC43,IFERROR(VALUE(SUBSTITUTE(SUBSTITUTE(SUBSTITUTE(SUBSTITUTE(AC43,"(","-"),")",""),",","")," ","")),"" ))</f>
        <v>69.44</v>
      </c>
      <c r="CQ43" s="12">
        <f t="shared" si="300"/>
        <v>9.84</v>
      </c>
      <c r="CR43" s="12">
        <f t="shared" si="300"/>
        <v>10</v>
      </c>
      <c r="CS43" s="12">
        <f t="shared" ref="CS43:CT43" si="301">IF(ISNUMBER(AF43),AF43,IFERROR(VALUE(SUBSTITUTE(SUBSTITUTE(SUBSTITUTE(SUBSTITUTE(SUBSTITUTE(AF43,"(","-"),")",""),"%",""),",","")," ","")),"" ))</f>
        <v>74.4</v>
      </c>
      <c r="CT43" s="12">
        <f t="shared" si="301"/>
        <v>0</v>
      </c>
      <c r="CU43" s="12">
        <f t="shared" si="60"/>
        <v>214256</v>
      </c>
      <c r="CV43" s="12">
        <f t="shared" si="61"/>
        <v>19.21</v>
      </c>
      <c r="CW43" s="12">
        <f t="shared" ref="CW43:DA43" si="302">IF(ISNUMBER(W43),W43,IFERROR(VALUE(SUBSTITUTE(SUBSTITUTE(SUBSTITUTE(SUBSTITUTE(W43,"(","-"),")",""),",","")," ","")),"" ))</f>
        <v>204.07</v>
      </c>
      <c r="CX43" s="12">
        <f t="shared" si="302"/>
        <v>161.1</v>
      </c>
      <c r="CY43" s="12">
        <f t="shared" si="302"/>
        <v>287.27</v>
      </c>
      <c r="CZ43" s="12">
        <f t="shared" si="302"/>
        <v>266.45</v>
      </c>
      <c r="DA43" s="12">
        <f t="shared" si="302"/>
        <v>158.75</v>
      </c>
    </row>
    <row r="44" ht="15.75" customHeight="1">
      <c r="A44" s="25">
        <v>43.0</v>
      </c>
      <c r="B44" s="26" t="s">
        <v>339</v>
      </c>
      <c r="C44" s="9" t="s">
        <v>46</v>
      </c>
      <c r="D44" s="10" t="s">
        <v>340</v>
      </c>
      <c r="E44" s="27" t="s">
        <v>341</v>
      </c>
      <c r="F44" s="28">
        <v>2302.6</v>
      </c>
      <c r="G44" s="28">
        <v>44513.22</v>
      </c>
      <c r="H44" s="28">
        <v>33.92</v>
      </c>
      <c r="I44" s="28">
        <v>25.74</v>
      </c>
      <c r="J44" s="28">
        <v>4.26</v>
      </c>
      <c r="K44" s="28">
        <v>2.54</v>
      </c>
      <c r="L44" s="28">
        <v>18.3</v>
      </c>
      <c r="M44" s="28">
        <v>16.67</v>
      </c>
      <c r="N44" s="28">
        <v>15.78</v>
      </c>
      <c r="O44" s="28">
        <v>10.36</v>
      </c>
      <c r="P44" s="28">
        <v>1.0</v>
      </c>
      <c r="Q44" s="28">
        <v>3.9</v>
      </c>
      <c r="R44" s="28">
        <v>8.0</v>
      </c>
      <c r="S44" s="28">
        <v>0.35</v>
      </c>
      <c r="T44" s="28">
        <v>161776.0</v>
      </c>
      <c r="U44" s="28">
        <v>292400.0</v>
      </c>
      <c r="V44" s="28">
        <v>-1.51</v>
      </c>
      <c r="W44" s="28">
        <v>2464.04</v>
      </c>
      <c r="X44" s="28">
        <v>2463.27</v>
      </c>
      <c r="Y44" s="28">
        <v>7541.13</v>
      </c>
      <c r="Z44" s="28">
        <v>747.0</v>
      </c>
      <c r="AA44" s="28">
        <v>1012.05</v>
      </c>
      <c r="AB44" s="28">
        <v>131.94</v>
      </c>
      <c r="AC44" s="28">
        <v>12.76</v>
      </c>
      <c r="AD44" s="28">
        <v>0.66</v>
      </c>
      <c r="AE44" s="28">
        <v>6.23</v>
      </c>
      <c r="AF44" s="28">
        <v>58.29</v>
      </c>
      <c r="AG44" s="28">
        <v>0.0</v>
      </c>
      <c r="AH44" s="29">
        <f t="shared" si="7"/>
        <v>1.317793318</v>
      </c>
      <c r="AI44" s="29">
        <f t="shared" si="8"/>
        <v>1.677165354</v>
      </c>
      <c r="AJ44" s="29">
        <f t="shared" si="9"/>
        <v>0.9347736951</v>
      </c>
      <c r="AK44" s="29">
        <f t="shared" si="10"/>
        <v>0.1694132664</v>
      </c>
      <c r="AL44" s="29">
        <f t="shared" si="11"/>
        <v>0.01678153142</v>
      </c>
      <c r="AM44" s="29">
        <f t="shared" si="12"/>
        <v>0.02273594227</v>
      </c>
      <c r="AN44" s="29">
        <f t="shared" si="13"/>
        <v>0.103</v>
      </c>
      <c r="AO44" s="29">
        <f t="shared" si="14"/>
        <v>0.333</v>
      </c>
      <c r="AP44" s="29">
        <f t="shared" si="15"/>
        <v>0.103</v>
      </c>
      <c r="AQ44" s="29">
        <f t="shared" si="16"/>
        <v>0.051</v>
      </c>
      <c r="AR44" s="29">
        <f t="shared" si="17"/>
        <v>0.103</v>
      </c>
      <c r="AS44" s="29">
        <f t="shared" si="18"/>
        <v>0.115</v>
      </c>
      <c r="AT44" s="29">
        <f t="shared" si="19"/>
        <v>0.308</v>
      </c>
      <c r="AU44" s="29">
        <f t="shared" si="20"/>
        <v>0.145975</v>
      </c>
      <c r="AV44" s="29">
        <f t="shared" si="21"/>
        <v>0.462</v>
      </c>
      <c r="AW44" s="29">
        <f t="shared" si="22"/>
        <v>0.474</v>
      </c>
      <c r="AX44" s="29">
        <f t="shared" si="23"/>
        <v>0.59</v>
      </c>
      <c r="AY44" s="29">
        <f t="shared" si="24"/>
        <v>0.551</v>
      </c>
      <c r="AZ44" s="29">
        <f t="shared" si="25"/>
        <v>0</v>
      </c>
      <c r="BA44" s="29">
        <f t="shared" si="26"/>
        <v>0.40705</v>
      </c>
      <c r="BB44" s="29">
        <f t="shared" si="27"/>
        <v>0.397</v>
      </c>
      <c r="BC44" s="29">
        <f t="shared" si="28"/>
        <v>0.513</v>
      </c>
      <c r="BD44" s="29">
        <f t="shared" si="29"/>
        <v>0.115</v>
      </c>
      <c r="BE44" s="29">
        <f t="shared" si="30"/>
        <v>0.538</v>
      </c>
      <c r="BF44" s="29">
        <f t="shared" si="31"/>
        <v>1</v>
      </c>
      <c r="BG44" s="29">
        <f t="shared" si="32"/>
        <v>0.333</v>
      </c>
      <c r="BH44" s="29">
        <f t="shared" si="33"/>
        <v>0.47535</v>
      </c>
      <c r="BI44" s="29">
        <f t="shared" si="34"/>
        <v>0.885</v>
      </c>
      <c r="BJ44" s="29">
        <f t="shared" si="35"/>
        <v>0.692</v>
      </c>
      <c r="BK44" s="29">
        <f t="shared" si="36"/>
        <v>0.051</v>
      </c>
      <c r="BL44" s="29">
        <f t="shared" si="37"/>
        <v>0.6353875</v>
      </c>
      <c r="BM44" s="29">
        <f t="shared" si="38"/>
        <v>0.218</v>
      </c>
      <c r="BN44" s="30">
        <f t="shared" si="39"/>
        <v>1</v>
      </c>
      <c r="BO44" s="29">
        <f t="shared" si="40"/>
        <v>0.609</v>
      </c>
      <c r="BP44" s="29">
        <f t="shared" si="41"/>
        <v>0.538</v>
      </c>
      <c r="BQ44" s="29">
        <f t="shared" si="42"/>
        <v>0.3666</v>
      </c>
      <c r="BR44" s="31" t="str">
        <f t="shared" si="43"/>
        <v>High</v>
      </c>
      <c r="BS44" s="29">
        <f t="shared" si="44"/>
        <v>0.416569375</v>
      </c>
      <c r="BT44" s="31" t="str">
        <f t="shared" si="45"/>
        <v>Y</v>
      </c>
      <c r="BU44" s="31" t="str">
        <f t="shared" si="46"/>
        <v>N</v>
      </c>
      <c r="BV44" s="31" t="str">
        <f t="shared" si="47"/>
        <v>Y</v>
      </c>
      <c r="BW44" s="31" t="str">
        <f t="shared" si="48"/>
        <v>Y</v>
      </c>
      <c r="BX44" s="31" t="str">
        <f t="shared" si="49"/>
        <v>N</v>
      </c>
      <c r="BY44" s="30" t="str">
        <f t="shared" si="50"/>
        <v/>
      </c>
      <c r="BZ44" s="32" t="str">
        <f t="shared" si="51"/>
        <v/>
      </c>
      <c r="CA44" s="9">
        <f t="shared" ref="CA44:CG44" si="303">IF(ISNUMBER(F44),F44,IFERROR(VALUE(SUBSTITUTE(SUBSTITUTE(SUBSTITUTE(SUBSTITUTE(F44,"(","-"),")",""),",","")," ","")),"" ))</f>
        <v>2302.6</v>
      </c>
      <c r="CB44" s="9">
        <f t="shared" si="303"/>
        <v>44513.22</v>
      </c>
      <c r="CC44" s="9">
        <f t="shared" si="303"/>
        <v>33.92</v>
      </c>
      <c r="CD44" s="9">
        <f t="shared" si="303"/>
        <v>25.74</v>
      </c>
      <c r="CE44" s="9">
        <f t="shared" si="303"/>
        <v>4.26</v>
      </c>
      <c r="CF44" s="9">
        <f t="shared" si="303"/>
        <v>2.54</v>
      </c>
      <c r="CG44" s="9">
        <f t="shared" si="303"/>
        <v>18.3</v>
      </c>
      <c r="CH44" s="9">
        <f t="shared" si="53"/>
        <v>131.94</v>
      </c>
      <c r="CI44" s="9">
        <f t="shared" ref="CI44:CK44" si="304">IF(ISNUMBER(M44),M44,IFERROR(VALUE(SUBSTITUTE(SUBSTITUTE(SUBSTITUTE(SUBSTITUTE(SUBSTITUTE(M44,"(","-"),")",""),"%",""),",","")," ","")),"" ))</f>
        <v>16.67</v>
      </c>
      <c r="CJ44" s="9">
        <f t="shared" si="304"/>
        <v>15.78</v>
      </c>
      <c r="CK44" s="9">
        <f t="shared" si="304"/>
        <v>10.36</v>
      </c>
      <c r="CL44" s="9">
        <f t="shared" si="55"/>
        <v>1</v>
      </c>
      <c r="CM44" s="9">
        <f t="shared" si="56"/>
        <v>3.9</v>
      </c>
      <c r="CN44" s="9">
        <f t="shared" ref="CN44:CO44" si="305">IF(ISNUMBER(R44),R44,IFERROR(VALUE(SUBSTITUTE(SUBSTITUTE(SUBSTITUTE(SUBSTITUTE(R44,"(","-"),")",""),",","")," ","")),"" ))</f>
        <v>8</v>
      </c>
      <c r="CO44" s="9">
        <f t="shared" si="305"/>
        <v>0.35</v>
      </c>
      <c r="CP44" s="9">
        <f t="shared" ref="CP44:CR44" si="306">IF(ISNUMBER(AC44),AC44,IFERROR(VALUE(SUBSTITUTE(SUBSTITUTE(SUBSTITUTE(SUBSTITUTE(AC44,"(","-"),")",""),",","")," ","")),"" ))</f>
        <v>12.76</v>
      </c>
      <c r="CQ44" s="9">
        <f t="shared" si="306"/>
        <v>0.66</v>
      </c>
      <c r="CR44" s="9">
        <f t="shared" si="306"/>
        <v>6.23</v>
      </c>
      <c r="CS44" s="9">
        <f t="shared" ref="CS44:CT44" si="307">IF(ISNUMBER(AF44),AF44,IFERROR(VALUE(SUBSTITUTE(SUBSTITUTE(SUBSTITUTE(SUBSTITUTE(SUBSTITUTE(AF44,"(","-"),")",""),"%",""),",","")," ","")),"" ))</f>
        <v>58.29</v>
      </c>
      <c r="CT44" s="9">
        <f t="shared" si="307"/>
        <v>0</v>
      </c>
      <c r="CU44" s="9">
        <f t="shared" si="60"/>
        <v>292400</v>
      </c>
      <c r="CV44" s="9">
        <f t="shared" si="61"/>
        <v>-1.51</v>
      </c>
      <c r="CW44" s="9">
        <f t="shared" ref="CW44:DA44" si="308">IF(ISNUMBER(W44),W44,IFERROR(VALUE(SUBSTITUTE(SUBSTITUTE(SUBSTITUTE(SUBSTITUTE(W44,"(","-"),")",""),",","")," ","")),"" ))</f>
        <v>2464.04</v>
      </c>
      <c r="CX44" s="9">
        <f t="shared" si="308"/>
        <v>2463.27</v>
      </c>
      <c r="CY44" s="9">
        <f t="shared" si="308"/>
        <v>7541.13</v>
      </c>
      <c r="CZ44" s="9">
        <f t="shared" si="308"/>
        <v>747</v>
      </c>
      <c r="DA44" s="9">
        <f t="shared" si="308"/>
        <v>1012.05</v>
      </c>
    </row>
    <row r="45" ht="15.75" customHeight="1">
      <c r="A45" s="33">
        <v>44.0</v>
      </c>
      <c r="B45" s="34" t="s">
        <v>128</v>
      </c>
      <c r="C45" s="12" t="s">
        <v>38</v>
      </c>
      <c r="D45" s="13" t="s">
        <v>129</v>
      </c>
      <c r="E45" s="35" t="s">
        <v>130</v>
      </c>
      <c r="F45" s="36">
        <v>1136.0</v>
      </c>
      <c r="G45" s="36">
        <v>10249.05</v>
      </c>
      <c r="H45" s="36">
        <v>18.11</v>
      </c>
      <c r="I45" s="36">
        <v>25.73</v>
      </c>
      <c r="J45" s="36">
        <v>3.83</v>
      </c>
      <c r="K45" s="36">
        <v>2.49</v>
      </c>
      <c r="L45" s="36">
        <v>10.02</v>
      </c>
      <c r="M45" s="36">
        <v>16.5</v>
      </c>
      <c r="N45" s="36">
        <v>12.62</v>
      </c>
      <c r="O45" s="36">
        <v>6.84</v>
      </c>
      <c r="P45" s="36">
        <v>2.0</v>
      </c>
      <c r="Q45" s="36">
        <v>6.89</v>
      </c>
      <c r="R45" s="36">
        <v>8.0</v>
      </c>
      <c r="S45" s="36">
        <v>0.0</v>
      </c>
      <c r="T45" s="36">
        <v>199791.0</v>
      </c>
      <c r="U45" s="36">
        <v>536125.0</v>
      </c>
      <c r="V45" s="36">
        <v>25.73</v>
      </c>
      <c r="W45" s="36">
        <v>1045.32</v>
      </c>
      <c r="X45" s="36">
        <v>885.59</v>
      </c>
      <c r="Y45" s="36">
        <v>1786.67</v>
      </c>
      <c r="Z45" s="36">
        <v>412.64</v>
      </c>
      <c r="AA45" s="36">
        <v>364.1</v>
      </c>
      <c r="AB45" s="36">
        <v>84.43</v>
      </c>
      <c r="AC45" s="36">
        <v>406.6</v>
      </c>
      <c r="AD45" s="36">
        <v>1.08</v>
      </c>
      <c r="AE45" s="36">
        <v>5.99</v>
      </c>
      <c r="AF45" s="36">
        <v>74.82</v>
      </c>
      <c r="AG45" s="36">
        <v>0.0</v>
      </c>
      <c r="AH45" s="38">
        <f t="shared" si="7"/>
        <v>0.7038476487</v>
      </c>
      <c r="AI45" s="38">
        <f t="shared" si="8"/>
        <v>1.53815261</v>
      </c>
      <c r="AJ45" s="38">
        <f t="shared" si="9"/>
        <v>1.282760645</v>
      </c>
      <c r="AK45" s="38">
        <f t="shared" si="10"/>
        <v>0.1743254253</v>
      </c>
      <c r="AL45" s="38">
        <f t="shared" si="11"/>
        <v>0.04026129251</v>
      </c>
      <c r="AM45" s="38">
        <f t="shared" si="12"/>
        <v>0.0355252438</v>
      </c>
      <c r="AN45" s="38">
        <f t="shared" si="13"/>
        <v>0.667</v>
      </c>
      <c r="AO45" s="38">
        <f t="shared" si="14"/>
        <v>0.436</v>
      </c>
      <c r="AP45" s="38">
        <f t="shared" si="15"/>
        <v>0.731</v>
      </c>
      <c r="AQ45" s="38">
        <f t="shared" si="16"/>
        <v>0.551</v>
      </c>
      <c r="AR45" s="38">
        <f t="shared" si="17"/>
        <v>0.167</v>
      </c>
      <c r="AS45" s="38">
        <f t="shared" si="18"/>
        <v>0.679</v>
      </c>
      <c r="AT45" s="38">
        <f t="shared" si="19"/>
        <v>0.385</v>
      </c>
      <c r="AU45" s="38">
        <f t="shared" si="20"/>
        <v>0.5325</v>
      </c>
      <c r="AV45" s="38">
        <f t="shared" si="21"/>
        <v>0.449</v>
      </c>
      <c r="AW45" s="38">
        <f t="shared" si="22"/>
        <v>0.167</v>
      </c>
      <c r="AX45" s="38">
        <f t="shared" si="23"/>
        <v>0.269</v>
      </c>
      <c r="AY45" s="38">
        <f t="shared" si="24"/>
        <v>0.551</v>
      </c>
      <c r="AZ45" s="38">
        <f t="shared" si="25"/>
        <v>0.026</v>
      </c>
      <c r="BA45" s="38">
        <f t="shared" si="26"/>
        <v>0.3155</v>
      </c>
      <c r="BB45" s="38">
        <f t="shared" si="27"/>
        <v>1</v>
      </c>
      <c r="BC45" s="38">
        <f t="shared" si="28"/>
        <v>0.962</v>
      </c>
      <c r="BD45" s="38">
        <f t="shared" si="29"/>
        <v>0.385</v>
      </c>
      <c r="BE45" s="38">
        <f t="shared" si="30"/>
        <v>0.5</v>
      </c>
      <c r="BF45" s="38">
        <f t="shared" si="31"/>
        <v>1</v>
      </c>
      <c r="BG45" s="38">
        <f t="shared" si="32"/>
        <v>0.897</v>
      </c>
      <c r="BH45" s="38">
        <f t="shared" si="33"/>
        <v>0.7975</v>
      </c>
      <c r="BI45" s="38">
        <f t="shared" si="34"/>
        <v>0.321</v>
      </c>
      <c r="BJ45" s="38">
        <f t="shared" si="35"/>
        <v>0.615</v>
      </c>
      <c r="BK45" s="38">
        <f t="shared" si="36"/>
        <v>0.91</v>
      </c>
      <c r="BL45" s="38">
        <f t="shared" si="37"/>
        <v>0.913325</v>
      </c>
      <c r="BM45" s="38">
        <f t="shared" si="38"/>
        <v>0.782</v>
      </c>
      <c r="BN45" s="39">
        <f t="shared" si="39"/>
        <v>1</v>
      </c>
      <c r="BO45" s="38">
        <f t="shared" si="40"/>
        <v>0.891</v>
      </c>
      <c r="BP45" s="38">
        <f t="shared" si="41"/>
        <v>0.615</v>
      </c>
      <c r="BQ45" s="38">
        <f t="shared" si="42"/>
        <v>0.6513</v>
      </c>
      <c r="BR45" s="40" t="str">
        <f t="shared" si="43"/>
        <v>High</v>
      </c>
      <c r="BS45" s="38">
        <f t="shared" si="44"/>
        <v>0.26181625</v>
      </c>
      <c r="BT45" s="40" t="str">
        <f t="shared" si="45"/>
        <v>Y</v>
      </c>
      <c r="BU45" s="40" t="str">
        <f t="shared" si="46"/>
        <v>Y</v>
      </c>
      <c r="BV45" s="40" t="str">
        <f t="shared" si="47"/>
        <v>Y</v>
      </c>
      <c r="BW45" s="40" t="str">
        <f t="shared" si="48"/>
        <v>Y</v>
      </c>
      <c r="BX45" s="40" t="str">
        <f t="shared" si="49"/>
        <v>Y</v>
      </c>
      <c r="BY45" s="39">
        <f t="shared" si="50"/>
        <v>42</v>
      </c>
      <c r="BZ45" s="41" t="str">
        <f t="shared" si="51"/>
        <v/>
      </c>
      <c r="CA45" s="12">
        <f t="shared" ref="CA45:CG45" si="309">IF(ISNUMBER(F45),F45,IFERROR(VALUE(SUBSTITUTE(SUBSTITUTE(SUBSTITUTE(SUBSTITUTE(F45,"(","-"),")",""),",","")," ","")),"" ))</f>
        <v>1136</v>
      </c>
      <c r="CB45" s="12">
        <f t="shared" si="309"/>
        <v>10249.05</v>
      </c>
      <c r="CC45" s="12">
        <f t="shared" si="309"/>
        <v>18.11</v>
      </c>
      <c r="CD45" s="12">
        <f t="shared" si="309"/>
        <v>25.73</v>
      </c>
      <c r="CE45" s="12">
        <f t="shared" si="309"/>
        <v>3.83</v>
      </c>
      <c r="CF45" s="12">
        <f t="shared" si="309"/>
        <v>2.49</v>
      </c>
      <c r="CG45" s="12">
        <f t="shared" si="309"/>
        <v>10.02</v>
      </c>
      <c r="CH45" s="12">
        <f t="shared" si="53"/>
        <v>84.43</v>
      </c>
      <c r="CI45" s="12">
        <f t="shared" ref="CI45:CK45" si="310">IF(ISNUMBER(M45),M45,IFERROR(VALUE(SUBSTITUTE(SUBSTITUTE(SUBSTITUTE(SUBSTITUTE(SUBSTITUTE(M45,"(","-"),")",""),"%",""),",","")," ","")),"" ))</f>
        <v>16.5</v>
      </c>
      <c r="CJ45" s="12">
        <f t="shared" si="310"/>
        <v>12.62</v>
      </c>
      <c r="CK45" s="12">
        <f t="shared" si="310"/>
        <v>6.84</v>
      </c>
      <c r="CL45" s="12">
        <f t="shared" si="55"/>
        <v>2</v>
      </c>
      <c r="CM45" s="12">
        <f t="shared" si="56"/>
        <v>6.89</v>
      </c>
      <c r="CN45" s="12">
        <f t="shared" ref="CN45:CO45" si="311">IF(ISNUMBER(R45),R45,IFERROR(VALUE(SUBSTITUTE(SUBSTITUTE(SUBSTITUTE(SUBSTITUTE(R45,"(","-"),")",""),",","")," ","")),"" ))</f>
        <v>8</v>
      </c>
      <c r="CO45" s="12">
        <f t="shared" si="311"/>
        <v>0</v>
      </c>
      <c r="CP45" s="12">
        <f t="shared" ref="CP45:CR45" si="312">IF(ISNUMBER(AC45),AC45,IFERROR(VALUE(SUBSTITUTE(SUBSTITUTE(SUBSTITUTE(SUBSTITUTE(AC45,"(","-"),")",""),",","")," ","")),"" ))</f>
        <v>406.6</v>
      </c>
      <c r="CQ45" s="12">
        <f t="shared" si="312"/>
        <v>1.08</v>
      </c>
      <c r="CR45" s="12">
        <f t="shared" si="312"/>
        <v>5.99</v>
      </c>
      <c r="CS45" s="12">
        <f t="shared" ref="CS45:CT45" si="313">IF(ISNUMBER(AF45),AF45,IFERROR(VALUE(SUBSTITUTE(SUBSTITUTE(SUBSTITUTE(SUBSTITUTE(SUBSTITUTE(AF45,"(","-"),")",""),"%",""),",","")," ","")),"" ))</f>
        <v>74.82</v>
      </c>
      <c r="CT45" s="12">
        <f t="shared" si="313"/>
        <v>0</v>
      </c>
      <c r="CU45" s="12">
        <f t="shared" si="60"/>
        <v>536125</v>
      </c>
      <c r="CV45" s="12">
        <f t="shared" si="61"/>
        <v>25.73</v>
      </c>
      <c r="CW45" s="12">
        <f t="shared" ref="CW45:DA45" si="314">IF(ISNUMBER(W45),W45,IFERROR(VALUE(SUBSTITUTE(SUBSTITUTE(SUBSTITUTE(SUBSTITUTE(W45,"(","-"),")",""),",","")," ","")),"" ))</f>
        <v>1045.32</v>
      </c>
      <c r="CX45" s="12">
        <f t="shared" si="314"/>
        <v>885.59</v>
      </c>
      <c r="CY45" s="12">
        <f t="shared" si="314"/>
        <v>1786.67</v>
      </c>
      <c r="CZ45" s="12">
        <f t="shared" si="314"/>
        <v>412.64</v>
      </c>
      <c r="DA45" s="12">
        <f t="shared" si="314"/>
        <v>364.1</v>
      </c>
    </row>
    <row r="46" ht="15.75" customHeight="1">
      <c r="A46" s="25">
        <v>45.0</v>
      </c>
      <c r="B46" s="26" t="s">
        <v>342</v>
      </c>
      <c r="C46" s="9" t="s">
        <v>46</v>
      </c>
      <c r="D46" s="10" t="s">
        <v>343</v>
      </c>
      <c r="E46" s="27" t="s">
        <v>344</v>
      </c>
      <c r="F46" s="28">
        <v>5950.0</v>
      </c>
      <c r="G46" s="28">
        <v>5563.25</v>
      </c>
      <c r="H46" s="28">
        <v>31.88</v>
      </c>
      <c r="I46" s="28">
        <v>27.29</v>
      </c>
      <c r="J46" s="28">
        <v>6.82</v>
      </c>
      <c r="K46" s="28">
        <v>3.26</v>
      </c>
      <c r="L46" s="28">
        <v>15.11</v>
      </c>
      <c r="M46" s="28">
        <v>16.39</v>
      </c>
      <c r="N46" s="28">
        <v>19.32</v>
      </c>
      <c r="O46" s="28">
        <v>5.12</v>
      </c>
      <c r="P46" s="28">
        <v>5.0</v>
      </c>
      <c r="Q46" s="28">
        <v>4.47</v>
      </c>
      <c r="R46" s="28">
        <v>6.0</v>
      </c>
      <c r="S46" s="28">
        <v>1.21</v>
      </c>
      <c r="T46" s="28">
        <v>23621.0</v>
      </c>
      <c r="U46" s="28">
        <v>27664.0</v>
      </c>
      <c r="V46" s="28">
        <v>41.98</v>
      </c>
      <c r="W46" s="28">
        <v>5607.31</v>
      </c>
      <c r="X46" s="28">
        <v>4665.24</v>
      </c>
      <c r="Y46" s="28">
        <v>636.56</v>
      </c>
      <c r="Z46" s="28">
        <v>-222.67</v>
      </c>
      <c r="AA46" s="28">
        <v>-215.93</v>
      </c>
      <c r="AB46" s="28">
        <v>-76.88</v>
      </c>
      <c r="AC46" s="28">
        <v>4.0</v>
      </c>
      <c r="AD46" s="28">
        <v>0.41</v>
      </c>
      <c r="AE46" s="28">
        <v>4.62</v>
      </c>
      <c r="AF46" s="28">
        <v>75.0</v>
      </c>
      <c r="AG46" s="28">
        <v>0.0</v>
      </c>
      <c r="AH46" s="29">
        <f t="shared" si="7"/>
        <v>1.168193477</v>
      </c>
      <c r="AI46" s="29">
        <f t="shared" si="8"/>
        <v>2.09202454</v>
      </c>
      <c r="AJ46" s="29">
        <f t="shared" si="9"/>
        <v>1.275389905</v>
      </c>
      <c r="AK46" s="29">
        <f t="shared" si="10"/>
        <v>0.1144223251</v>
      </c>
      <c r="AL46" s="29">
        <f t="shared" si="11"/>
        <v>-0.04002516515</v>
      </c>
      <c r="AM46" s="29">
        <f t="shared" si="12"/>
        <v>-0.0388136431</v>
      </c>
      <c r="AN46" s="29">
        <f t="shared" si="13"/>
        <v>0.128</v>
      </c>
      <c r="AO46" s="29">
        <f t="shared" si="14"/>
        <v>0.051</v>
      </c>
      <c r="AP46" s="29">
        <f t="shared" si="15"/>
        <v>0.231</v>
      </c>
      <c r="AQ46" s="29">
        <f t="shared" si="16"/>
        <v>0.103</v>
      </c>
      <c r="AR46" s="29" t="str">
        <f t="shared" si="17"/>
        <v/>
      </c>
      <c r="AS46" s="29">
        <f t="shared" si="18"/>
        <v>0.192</v>
      </c>
      <c r="AT46" s="29">
        <f t="shared" si="19"/>
        <v>0.103</v>
      </c>
      <c r="AU46" s="29">
        <f t="shared" si="20"/>
        <v>0.1376764706</v>
      </c>
      <c r="AV46" s="29">
        <f t="shared" si="21"/>
        <v>0.436</v>
      </c>
      <c r="AW46" s="29">
        <f t="shared" si="22"/>
        <v>0.628</v>
      </c>
      <c r="AX46" s="29">
        <f t="shared" si="23"/>
        <v>0.115</v>
      </c>
      <c r="AY46" s="29">
        <f t="shared" si="24"/>
        <v>0</v>
      </c>
      <c r="AZ46" s="29">
        <f t="shared" si="25"/>
        <v>0.577</v>
      </c>
      <c r="BA46" s="29">
        <f t="shared" si="26"/>
        <v>0.3615</v>
      </c>
      <c r="BB46" s="29">
        <f t="shared" si="27"/>
        <v>0.064</v>
      </c>
      <c r="BC46" s="29">
        <f t="shared" si="28"/>
        <v>0.192</v>
      </c>
      <c r="BD46" s="29">
        <f t="shared" si="29"/>
        <v>0.026</v>
      </c>
      <c r="BE46" s="29">
        <f t="shared" si="30"/>
        <v>0.231</v>
      </c>
      <c r="BF46" s="29">
        <f t="shared" si="31"/>
        <v>1</v>
      </c>
      <c r="BG46" s="29">
        <f t="shared" si="32"/>
        <v>0.923</v>
      </c>
      <c r="BH46" s="29">
        <f t="shared" si="33"/>
        <v>0.30065</v>
      </c>
      <c r="BI46" s="29">
        <f t="shared" si="34"/>
        <v>0.808</v>
      </c>
      <c r="BJ46" s="29">
        <f t="shared" si="35"/>
        <v>0.897</v>
      </c>
      <c r="BK46" s="29">
        <f t="shared" si="36"/>
        <v>0.897</v>
      </c>
      <c r="BL46" s="29">
        <f t="shared" si="37"/>
        <v>0.7982125</v>
      </c>
      <c r="BM46" s="29">
        <f t="shared" si="38"/>
        <v>0.91</v>
      </c>
      <c r="BN46" s="30">
        <f t="shared" si="39"/>
        <v>1</v>
      </c>
      <c r="BO46" s="29">
        <f t="shared" si="40"/>
        <v>0.955</v>
      </c>
      <c r="BP46" s="29">
        <f t="shared" si="41"/>
        <v>0.141</v>
      </c>
      <c r="BQ46" s="29">
        <f t="shared" si="42"/>
        <v>0.7116</v>
      </c>
      <c r="BR46" s="31" t="str">
        <f t="shared" si="43"/>
        <v>High</v>
      </c>
      <c r="BS46" s="29" t="str">
        <f t="shared" si="44"/>
        <v/>
      </c>
      <c r="BT46" s="31" t="str">
        <f t="shared" si="45"/>
        <v>N</v>
      </c>
      <c r="BU46" s="31" t="str">
        <f t="shared" si="46"/>
        <v>Y</v>
      </c>
      <c r="BV46" s="31" t="str">
        <f t="shared" si="47"/>
        <v>Y</v>
      </c>
      <c r="BW46" s="31" t="str">
        <f t="shared" si="48"/>
        <v>Y</v>
      </c>
      <c r="BX46" s="31" t="str">
        <f t="shared" si="49"/>
        <v>N</v>
      </c>
      <c r="BY46" s="30" t="str">
        <f t="shared" si="50"/>
        <v/>
      </c>
      <c r="BZ46" s="32" t="str">
        <f t="shared" si="51"/>
        <v/>
      </c>
      <c r="CA46" s="9">
        <f t="shared" ref="CA46:CG46" si="315">IF(ISNUMBER(F46),F46,IFERROR(VALUE(SUBSTITUTE(SUBSTITUTE(SUBSTITUTE(SUBSTITUTE(F46,"(","-"),")",""),",","")," ","")),"" ))</f>
        <v>5950</v>
      </c>
      <c r="CB46" s="9">
        <f t="shared" si="315"/>
        <v>5563.25</v>
      </c>
      <c r="CC46" s="9">
        <f t="shared" si="315"/>
        <v>31.88</v>
      </c>
      <c r="CD46" s="9">
        <f t="shared" si="315"/>
        <v>27.29</v>
      </c>
      <c r="CE46" s="9">
        <f t="shared" si="315"/>
        <v>6.82</v>
      </c>
      <c r="CF46" s="9">
        <f t="shared" si="315"/>
        <v>3.26</v>
      </c>
      <c r="CG46" s="9">
        <f t="shared" si="315"/>
        <v>15.11</v>
      </c>
      <c r="CH46" s="9">
        <f t="shared" si="53"/>
        <v>-76.88</v>
      </c>
      <c r="CI46" s="9">
        <f t="shared" ref="CI46:CK46" si="316">IF(ISNUMBER(M46),M46,IFERROR(VALUE(SUBSTITUTE(SUBSTITUTE(SUBSTITUTE(SUBSTITUTE(SUBSTITUTE(M46,"(","-"),")",""),"%",""),",","")," ","")),"" ))</f>
        <v>16.39</v>
      </c>
      <c r="CJ46" s="9">
        <f t="shared" si="316"/>
        <v>19.32</v>
      </c>
      <c r="CK46" s="9">
        <f t="shared" si="316"/>
        <v>5.12</v>
      </c>
      <c r="CL46" s="9">
        <f t="shared" si="55"/>
        <v>5</v>
      </c>
      <c r="CM46" s="9">
        <f t="shared" si="56"/>
        <v>4.47</v>
      </c>
      <c r="CN46" s="9">
        <f t="shared" ref="CN46:CO46" si="317">IF(ISNUMBER(R46),R46,IFERROR(VALUE(SUBSTITUTE(SUBSTITUTE(SUBSTITUTE(SUBSTITUTE(R46,"(","-"),")",""),",","")," ","")),"" ))</f>
        <v>6</v>
      </c>
      <c r="CO46" s="9">
        <f t="shared" si="317"/>
        <v>1.21</v>
      </c>
      <c r="CP46" s="9">
        <f t="shared" ref="CP46:CR46" si="318">IF(ISNUMBER(AC46),AC46,IFERROR(VALUE(SUBSTITUTE(SUBSTITUTE(SUBSTITUTE(SUBSTITUTE(AC46,"(","-"),")",""),",","")," ","")),"" ))</f>
        <v>4</v>
      </c>
      <c r="CQ46" s="9">
        <f t="shared" si="318"/>
        <v>0.41</v>
      </c>
      <c r="CR46" s="9">
        <f t="shared" si="318"/>
        <v>4.62</v>
      </c>
      <c r="CS46" s="9">
        <f t="shared" ref="CS46:CT46" si="319">IF(ISNUMBER(AF46),AF46,IFERROR(VALUE(SUBSTITUTE(SUBSTITUTE(SUBSTITUTE(SUBSTITUTE(SUBSTITUTE(AF46,"(","-"),")",""),"%",""),",","")," ","")),"" ))</f>
        <v>75</v>
      </c>
      <c r="CT46" s="9">
        <f t="shared" si="319"/>
        <v>0</v>
      </c>
      <c r="CU46" s="9">
        <f t="shared" si="60"/>
        <v>27664</v>
      </c>
      <c r="CV46" s="9">
        <f t="shared" si="61"/>
        <v>41.98</v>
      </c>
      <c r="CW46" s="9">
        <f t="shared" ref="CW46:DA46" si="320">IF(ISNUMBER(W46),W46,IFERROR(VALUE(SUBSTITUTE(SUBSTITUTE(SUBSTITUTE(SUBSTITUTE(W46,"(","-"),")",""),",","")," ","")),"" ))</f>
        <v>5607.31</v>
      </c>
      <c r="CX46" s="9">
        <f t="shared" si="320"/>
        <v>4665.24</v>
      </c>
      <c r="CY46" s="9">
        <f t="shared" si="320"/>
        <v>636.56</v>
      </c>
      <c r="CZ46" s="9">
        <f t="shared" si="320"/>
        <v>-222.67</v>
      </c>
      <c r="DA46" s="9">
        <f t="shared" si="320"/>
        <v>-215.93</v>
      </c>
    </row>
    <row r="47" ht="15.75" customHeight="1">
      <c r="A47" s="33">
        <v>46.0</v>
      </c>
      <c r="B47" s="34" t="s">
        <v>134</v>
      </c>
      <c r="C47" s="12" t="s">
        <v>33</v>
      </c>
      <c r="D47" s="13" t="s">
        <v>135</v>
      </c>
      <c r="E47" s="35" t="s">
        <v>136</v>
      </c>
      <c r="F47" s="36">
        <v>474.45</v>
      </c>
      <c r="G47" s="36">
        <v>7467.56</v>
      </c>
      <c r="H47" s="36">
        <v>23.02</v>
      </c>
      <c r="I47" s="36">
        <v>27.72</v>
      </c>
      <c r="J47" s="36">
        <v>2.37</v>
      </c>
      <c r="K47" s="36">
        <v>3.06</v>
      </c>
      <c r="L47" s="36">
        <v>10.26</v>
      </c>
      <c r="M47" s="36">
        <v>16.2</v>
      </c>
      <c r="N47" s="36">
        <v>17.19</v>
      </c>
      <c r="O47" s="36">
        <v>8.64</v>
      </c>
      <c r="P47" s="36">
        <v>4.0</v>
      </c>
      <c r="Q47" s="36">
        <v>7.13</v>
      </c>
      <c r="R47" s="36">
        <v>7.0</v>
      </c>
      <c r="S47" s="36">
        <v>0.03</v>
      </c>
      <c r="T47" s="36">
        <v>142063.0</v>
      </c>
      <c r="U47" s="36">
        <v>295413.0</v>
      </c>
      <c r="V47" s="36">
        <v>1.89</v>
      </c>
      <c r="W47" s="36">
        <v>457.84</v>
      </c>
      <c r="X47" s="36">
        <v>485.56</v>
      </c>
      <c r="Y47" s="36">
        <v>1306.83</v>
      </c>
      <c r="Z47" s="36">
        <v>132.48</v>
      </c>
      <c r="AA47" s="36">
        <v>303.27</v>
      </c>
      <c r="AB47" s="36">
        <v>73.87</v>
      </c>
      <c r="AC47" s="36">
        <v>5.63</v>
      </c>
      <c r="AD47" s="36">
        <v>3.18</v>
      </c>
      <c r="AE47" s="36">
        <v>4.84</v>
      </c>
      <c r="AF47" s="36">
        <v>75.26</v>
      </c>
      <c r="AG47" s="36">
        <v>0.0</v>
      </c>
      <c r="AH47" s="38">
        <f t="shared" si="7"/>
        <v>0.8304473304</v>
      </c>
      <c r="AI47" s="38">
        <f t="shared" si="8"/>
        <v>0.7745098039</v>
      </c>
      <c r="AJ47" s="38">
        <f t="shared" si="9"/>
        <v>0.9771192026</v>
      </c>
      <c r="AK47" s="38">
        <f t="shared" si="10"/>
        <v>0.1750009374</v>
      </c>
      <c r="AL47" s="38">
        <f t="shared" si="11"/>
        <v>0.01774073459</v>
      </c>
      <c r="AM47" s="38">
        <f t="shared" si="12"/>
        <v>0.04061165896</v>
      </c>
      <c r="AN47" s="38">
        <f t="shared" si="13"/>
        <v>0.449</v>
      </c>
      <c r="AO47" s="38">
        <f t="shared" si="14"/>
        <v>0.782</v>
      </c>
      <c r="AP47" s="38">
        <f t="shared" si="15"/>
        <v>0.692</v>
      </c>
      <c r="AQ47" s="38">
        <f t="shared" si="16"/>
        <v>0.577</v>
      </c>
      <c r="AR47" s="38">
        <f t="shared" si="17"/>
        <v>0.218</v>
      </c>
      <c r="AS47" s="38">
        <f t="shared" si="18"/>
        <v>0.551</v>
      </c>
      <c r="AT47" s="38">
        <f t="shared" si="19"/>
        <v>0.872</v>
      </c>
      <c r="AU47" s="38">
        <f t="shared" si="20"/>
        <v>0.571475</v>
      </c>
      <c r="AV47" s="38">
        <f t="shared" si="21"/>
        <v>0.423</v>
      </c>
      <c r="AW47" s="38">
        <f t="shared" si="22"/>
        <v>0.538</v>
      </c>
      <c r="AX47" s="38">
        <f t="shared" si="23"/>
        <v>0.423</v>
      </c>
      <c r="AY47" s="38">
        <f t="shared" si="24"/>
        <v>0.256</v>
      </c>
      <c r="AZ47" s="38">
        <f t="shared" si="25"/>
        <v>0.308</v>
      </c>
      <c r="BA47" s="38">
        <f t="shared" si="26"/>
        <v>0.38125</v>
      </c>
      <c r="BB47" s="38">
        <f t="shared" si="27"/>
        <v>0.795</v>
      </c>
      <c r="BC47" s="38">
        <f t="shared" si="28"/>
        <v>0.321</v>
      </c>
      <c r="BD47" s="38">
        <f t="shared" si="29"/>
        <v>0.846</v>
      </c>
      <c r="BE47" s="38">
        <f t="shared" si="30"/>
        <v>0.282</v>
      </c>
      <c r="BF47" s="38">
        <f t="shared" si="31"/>
        <v>1</v>
      </c>
      <c r="BG47" s="38">
        <f t="shared" si="32"/>
        <v>0.936</v>
      </c>
      <c r="BH47" s="38">
        <f t="shared" si="33"/>
        <v>0.63535</v>
      </c>
      <c r="BI47" s="38">
        <f t="shared" si="34"/>
        <v>0.449</v>
      </c>
      <c r="BJ47" s="38">
        <f t="shared" si="35"/>
        <v>0.128</v>
      </c>
      <c r="BK47" s="38">
        <f t="shared" si="36"/>
        <v>0.167</v>
      </c>
      <c r="BL47" s="38">
        <f t="shared" si="37"/>
        <v>0.8864375</v>
      </c>
      <c r="BM47" s="38">
        <f t="shared" si="38"/>
        <v>0.372</v>
      </c>
      <c r="BN47" s="39">
        <f t="shared" si="39"/>
        <v>1</v>
      </c>
      <c r="BO47" s="38">
        <f t="shared" si="40"/>
        <v>0.686</v>
      </c>
      <c r="BP47" s="38">
        <f t="shared" si="41"/>
        <v>0.551</v>
      </c>
      <c r="BQ47" s="38">
        <f t="shared" si="42"/>
        <v>0.6141</v>
      </c>
      <c r="BR47" s="40" t="str">
        <f t="shared" si="43"/>
        <v>High</v>
      </c>
      <c r="BS47" s="38">
        <f t="shared" si="44"/>
        <v>0.288571875</v>
      </c>
      <c r="BT47" s="40" t="str">
        <f t="shared" si="45"/>
        <v>Y</v>
      </c>
      <c r="BU47" s="40" t="str">
        <f t="shared" si="46"/>
        <v>Y</v>
      </c>
      <c r="BV47" s="40" t="str">
        <f t="shared" si="47"/>
        <v>Y</v>
      </c>
      <c r="BW47" s="40" t="str">
        <f t="shared" si="48"/>
        <v>Y</v>
      </c>
      <c r="BX47" s="40" t="str">
        <f t="shared" si="49"/>
        <v>Y</v>
      </c>
      <c r="BY47" s="39">
        <f t="shared" si="50"/>
        <v>38</v>
      </c>
      <c r="BZ47" s="41" t="str">
        <f t="shared" si="51"/>
        <v/>
      </c>
      <c r="CA47" s="12">
        <f t="shared" ref="CA47:CG47" si="321">IF(ISNUMBER(F47),F47,IFERROR(VALUE(SUBSTITUTE(SUBSTITUTE(SUBSTITUTE(SUBSTITUTE(F47,"(","-"),")",""),",","")," ","")),"" ))</f>
        <v>474.45</v>
      </c>
      <c r="CB47" s="12">
        <f t="shared" si="321"/>
        <v>7467.56</v>
      </c>
      <c r="CC47" s="12">
        <f t="shared" si="321"/>
        <v>23.02</v>
      </c>
      <c r="CD47" s="12">
        <f t="shared" si="321"/>
        <v>27.72</v>
      </c>
      <c r="CE47" s="12">
        <f t="shared" si="321"/>
        <v>2.37</v>
      </c>
      <c r="CF47" s="12">
        <f t="shared" si="321"/>
        <v>3.06</v>
      </c>
      <c r="CG47" s="12">
        <f t="shared" si="321"/>
        <v>10.26</v>
      </c>
      <c r="CH47" s="12">
        <f t="shared" si="53"/>
        <v>73.87</v>
      </c>
      <c r="CI47" s="12">
        <f t="shared" ref="CI47:CK47" si="322">IF(ISNUMBER(M47),M47,IFERROR(VALUE(SUBSTITUTE(SUBSTITUTE(SUBSTITUTE(SUBSTITUTE(SUBSTITUTE(M47,"(","-"),")",""),"%",""),",","")," ","")),"" ))</f>
        <v>16.2</v>
      </c>
      <c r="CJ47" s="12">
        <f t="shared" si="322"/>
        <v>17.19</v>
      </c>
      <c r="CK47" s="12">
        <f t="shared" si="322"/>
        <v>8.64</v>
      </c>
      <c r="CL47" s="12">
        <f t="shared" si="55"/>
        <v>4</v>
      </c>
      <c r="CM47" s="12">
        <f t="shared" si="56"/>
        <v>7.13</v>
      </c>
      <c r="CN47" s="12">
        <f t="shared" ref="CN47:CO47" si="323">IF(ISNUMBER(R47),R47,IFERROR(VALUE(SUBSTITUTE(SUBSTITUTE(SUBSTITUTE(SUBSTITUTE(R47,"(","-"),")",""),",","")," ","")),"" ))</f>
        <v>7</v>
      </c>
      <c r="CO47" s="12">
        <f t="shared" si="323"/>
        <v>0.03</v>
      </c>
      <c r="CP47" s="12">
        <f t="shared" ref="CP47:CR47" si="324">IF(ISNUMBER(AC47),AC47,IFERROR(VALUE(SUBSTITUTE(SUBSTITUTE(SUBSTITUTE(SUBSTITUTE(AC47,"(","-"),")",""),",","")," ","")),"" ))</f>
        <v>5.63</v>
      </c>
      <c r="CQ47" s="12">
        <f t="shared" si="324"/>
        <v>3.18</v>
      </c>
      <c r="CR47" s="12">
        <f t="shared" si="324"/>
        <v>4.84</v>
      </c>
      <c r="CS47" s="12">
        <f t="shared" ref="CS47:CT47" si="325">IF(ISNUMBER(AF47),AF47,IFERROR(VALUE(SUBSTITUTE(SUBSTITUTE(SUBSTITUTE(SUBSTITUTE(SUBSTITUTE(AF47,"(","-"),")",""),"%",""),",","")," ","")),"" ))</f>
        <v>75.26</v>
      </c>
      <c r="CT47" s="12">
        <f t="shared" si="325"/>
        <v>0</v>
      </c>
      <c r="CU47" s="12">
        <f t="shared" si="60"/>
        <v>295413</v>
      </c>
      <c r="CV47" s="12">
        <f t="shared" si="61"/>
        <v>1.89</v>
      </c>
      <c r="CW47" s="12">
        <f t="shared" ref="CW47:DA47" si="326">IF(ISNUMBER(W47),W47,IFERROR(VALUE(SUBSTITUTE(SUBSTITUTE(SUBSTITUTE(SUBSTITUTE(W47,"(","-"),")",""),",","")," ","")),"" ))</f>
        <v>457.84</v>
      </c>
      <c r="CX47" s="12">
        <f t="shared" si="326"/>
        <v>485.56</v>
      </c>
      <c r="CY47" s="12">
        <f t="shared" si="326"/>
        <v>1306.83</v>
      </c>
      <c r="CZ47" s="12">
        <f t="shared" si="326"/>
        <v>132.48</v>
      </c>
      <c r="DA47" s="12">
        <f t="shared" si="326"/>
        <v>303.27</v>
      </c>
    </row>
    <row r="48" ht="15.75" customHeight="1">
      <c r="A48" s="25">
        <v>47.0</v>
      </c>
      <c r="B48" s="26" t="s">
        <v>88</v>
      </c>
      <c r="C48" s="9" t="s">
        <v>46</v>
      </c>
      <c r="D48" s="10" t="s">
        <v>89</v>
      </c>
      <c r="E48" s="27" t="s">
        <v>90</v>
      </c>
      <c r="F48" s="28">
        <v>876.6</v>
      </c>
      <c r="G48" s="28">
        <v>2141.8</v>
      </c>
      <c r="H48" s="28">
        <v>17.52</v>
      </c>
      <c r="I48" s="28">
        <v>27.29</v>
      </c>
      <c r="J48" s="28">
        <v>2.36</v>
      </c>
      <c r="K48" s="28">
        <v>3.26</v>
      </c>
      <c r="L48" s="28">
        <v>7.55</v>
      </c>
      <c r="M48" s="28">
        <v>16.14</v>
      </c>
      <c r="N48" s="28">
        <v>12.71</v>
      </c>
      <c r="O48" s="28">
        <v>3.61</v>
      </c>
      <c r="P48" s="28">
        <v>4.0</v>
      </c>
      <c r="Q48" s="28">
        <v>9.74</v>
      </c>
      <c r="R48" s="28">
        <v>7.0</v>
      </c>
      <c r="S48" s="28">
        <v>0.79</v>
      </c>
      <c r="T48" s="28">
        <v>53312.0</v>
      </c>
      <c r="U48" s="28">
        <v>58012.0</v>
      </c>
      <c r="V48" s="28">
        <v>18.9</v>
      </c>
      <c r="W48" s="28">
        <v>857.37</v>
      </c>
      <c r="X48" s="28">
        <v>817.16</v>
      </c>
      <c r="Y48" s="28">
        <v>1194.0</v>
      </c>
      <c r="Z48" s="28">
        <v>428.79</v>
      </c>
      <c r="AA48" s="28">
        <v>535.23</v>
      </c>
      <c r="AB48" s="28">
        <v>11.99</v>
      </c>
      <c r="AC48" s="28">
        <v>2.45</v>
      </c>
      <c r="AD48" s="28">
        <v>0.5</v>
      </c>
      <c r="AE48" s="28">
        <v>3.32</v>
      </c>
      <c r="AF48" s="28">
        <v>58.31</v>
      </c>
      <c r="AG48" s="28">
        <v>0.0</v>
      </c>
      <c r="AH48" s="29">
        <f t="shared" si="7"/>
        <v>0.6419934042</v>
      </c>
      <c r="AI48" s="29">
        <f t="shared" si="8"/>
        <v>0.7239263804</v>
      </c>
      <c r="AJ48" s="29">
        <f t="shared" si="9"/>
        <v>1.072739733</v>
      </c>
      <c r="AK48" s="29">
        <f t="shared" si="10"/>
        <v>0.557475021</v>
      </c>
      <c r="AL48" s="29">
        <f t="shared" si="11"/>
        <v>0.2002007657</v>
      </c>
      <c r="AM48" s="29">
        <f t="shared" si="12"/>
        <v>0.2498972827</v>
      </c>
      <c r="AN48" s="29">
        <f t="shared" si="13"/>
        <v>0.731</v>
      </c>
      <c r="AO48" s="29">
        <f t="shared" si="14"/>
        <v>0.795</v>
      </c>
      <c r="AP48" s="29">
        <f t="shared" si="15"/>
        <v>0.885</v>
      </c>
      <c r="AQ48" s="29">
        <f t="shared" si="16"/>
        <v>0.846</v>
      </c>
      <c r="AR48" s="29">
        <f t="shared" si="17"/>
        <v>0.795</v>
      </c>
      <c r="AS48" s="29">
        <f t="shared" si="18"/>
        <v>0.808</v>
      </c>
      <c r="AT48" s="29">
        <f t="shared" si="19"/>
        <v>0.923</v>
      </c>
      <c r="AU48" s="29">
        <f t="shared" si="20"/>
        <v>0.818425</v>
      </c>
      <c r="AV48" s="29">
        <f t="shared" si="21"/>
        <v>0.41</v>
      </c>
      <c r="AW48" s="29">
        <f t="shared" si="22"/>
        <v>0.179</v>
      </c>
      <c r="AX48" s="29">
        <f t="shared" si="23"/>
        <v>0.051</v>
      </c>
      <c r="AY48" s="29">
        <f t="shared" si="24"/>
        <v>0.256</v>
      </c>
      <c r="AZ48" s="29">
        <f t="shared" si="25"/>
        <v>0.308</v>
      </c>
      <c r="BA48" s="29">
        <f t="shared" si="26"/>
        <v>0.269</v>
      </c>
      <c r="BB48" s="29">
        <f t="shared" si="27"/>
        <v>0.167</v>
      </c>
      <c r="BC48" s="29">
        <f t="shared" si="28"/>
        <v>0.038</v>
      </c>
      <c r="BD48" s="29">
        <f t="shared" si="29"/>
        <v>0.064</v>
      </c>
      <c r="BE48" s="29">
        <f t="shared" si="30"/>
        <v>0.103</v>
      </c>
      <c r="BF48" s="29">
        <f t="shared" si="31"/>
        <v>1</v>
      </c>
      <c r="BG48" s="29">
        <f t="shared" si="32"/>
        <v>0.346</v>
      </c>
      <c r="BH48" s="29">
        <f t="shared" si="33"/>
        <v>0.22255</v>
      </c>
      <c r="BI48" s="29">
        <f t="shared" si="34"/>
        <v>0.192</v>
      </c>
      <c r="BJ48" s="29">
        <f t="shared" si="35"/>
        <v>0.077</v>
      </c>
      <c r="BK48" s="29">
        <f t="shared" si="36"/>
        <v>0.603</v>
      </c>
      <c r="BL48" s="29">
        <f t="shared" si="37"/>
        <v>0.5767375</v>
      </c>
      <c r="BM48" s="29">
        <f t="shared" si="38"/>
        <v>0.705</v>
      </c>
      <c r="BN48" s="30">
        <f t="shared" si="39"/>
        <v>1</v>
      </c>
      <c r="BO48" s="29">
        <f t="shared" si="40"/>
        <v>0.8525</v>
      </c>
      <c r="BP48" s="29">
        <f t="shared" si="41"/>
        <v>0.205</v>
      </c>
      <c r="BQ48" s="29">
        <f t="shared" si="42"/>
        <v>0.9052</v>
      </c>
      <c r="BR48" s="31" t="str">
        <f t="shared" si="43"/>
        <v>High</v>
      </c>
      <c r="BS48" s="29">
        <f t="shared" si="44"/>
        <v>0.319386875</v>
      </c>
      <c r="BT48" s="31" t="str">
        <f t="shared" si="45"/>
        <v>Y</v>
      </c>
      <c r="BU48" s="31" t="str">
        <f t="shared" si="46"/>
        <v>Y</v>
      </c>
      <c r="BV48" s="31" t="str">
        <f t="shared" si="47"/>
        <v>Y</v>
      </c>
      <c r="BW48" s="31" t="str">
        <f t="shared" si="48"/>
        <v>Y</v>
      </c>
      <c r="BX48" s="31" t="str">
        <f t="shared" si="49"/>
        <v>Y</v>
      </c>
      <c r="BY48" s="30">
        <f t="shared" si="50"/>
        <v>33</v>
      </c>
      <c r="BZ48" s="32" t="str">
        <f t="shared" si="51"/>
        <v/>
      </c>
      <c r="CA48" s="9">
        <f t="shared" ref="CA48:CG48" si="327">IF(ISNUMBER(F48),F48,IFERROR(VALUE(SUBSTITUTE(SUBSTITUTE(SUBSTITUTE(SUBSTITUTE(F48,"(","-"),")",""),",","")," ","")),"" ))</f>
        <v>876.6</v>
      </c>
      <c r="CB48" s="9">
        <f t="shared" si="327"/>
        <v>2141.8</v>
      </c>
      <c r="CC48" s="9">
        <f t="shared" si="327"/>
        <v>17.52</v>
      </c>
      <c r="CD48" s="9">
        <f t="shared" si="327"/>
        <v>27.29</v>
      </c>
      <c r="CE48" s="9">
        <f t="shared" si="327"/>
        <v>2.36</v>
      </c>
      <c r="CF48" s="9">
        <f t="shared" si="327"/>
        <v>3.26</v>
      </c>
      <c r="CG48" s="9">
        <f t="shared" si="327"/>
        <v>7.55</v>
      </c>
      <c r="CH48" s="9">
        <f t="shared" si="53"/>
        <v>11.99</v>
      </c>
      <c r="CI48" s="9">
        <f t="shared" ref="CI48:CK48" si="328">IF(ISNUMBER(M48),M48,IFERROR(VALUE(SUBSTITUTE(SUBSTITUTE(SUBSTITUTE(SUBSTITUTE(SUBSTITUTE(M48,"(","-"),")",""),"%",""),",","")," ","")),"" ))</f>
        <v>16.14</v>
      </c>
      <c r="CJ48" s="9">
        <f t="shared" si="328"/>
        <v>12.71</v>
      </c>
      <c r="CK48" s="9">
        <f t="shared" si="328"/>
        <v>3.61</v>
      </c>
      <c r="CL48" s="9">
        <f t="shared" si="55"/>
        <v>4</v>
      </c>
      <c r="CM48" s="9">
        <f t="shared" si="56"/>
        <v>9.74</v>
      </c>
      <c r="CN48" s="9">
        <f t="shared" ref="CN48:CO48" si="329">IF(ISNUMBER(R48),R48,IFERROR(VALUE(SUBSTITUTE(SUBSTITUTE(SUBSTITUTE(SUBSTITUTE(R48,"(","-"),")",""),",","")," ","")),"" ))</f>
        <v>7</v>
      </c>
      <c r="CO48" s="9">
        <f t="shared" si="329"/>
        <v>0.79</v>
      </c>
      <c r="CP48" s="9">
        <f t="shared" ref="CP48:CR48" si="330">IF(ISNUMBER(AC48),AC48,IFERROR(VALUE(SUBSTITUTE(SUBSTITUTE(SUBSTITUTE(SUBSTITUTE(AC48,"(","-"),")",""),",","")," ","")),"" ))</f>
        <v>2.45</v>
      </c>
      <c r="CQ48" s="9">
        <f t="shared" si="330"/>
        <v>0.5</v>
      </c>
      <c r="CR48" s="9">
        <f t="shared" si="330"/>
        <v>3.32</v>
      </c>
      <c r="CS48" s="9">
        <f t="shared" ref="CS48:CT48" si="331">IF(ISNUMBER(AF48),AF48,IFERROR(VALUE(SUBSTITUTE(SUBSTITUTE(SUBSTITUTE(SUBSTITUTE(SUBSTITUTE(AF48,"(","-"),")",""),"%",""),",","")," ","")),"" ))</f>
        <v>58.31</v>
      </c>
      <c r="CT48" s="9">
        <f t="shared" si="331"/>
        <v>0</v>
      </c>
      <c r="CU48" s="9">
        <f t="shared" si="60"/>
        <v>58012</v>
      </c>
      <c r="CV48" s="9">
        <f t="shared" si="61"/>
        <v>18.9</v>
      </c>
      <c r="CW48" s="9">
        <f t="shared" ref="CW48:DA48" si="332">IF(ISNUMBER(W48),W48,IFERROR(VALUE(SUBSTITUTE(SUBSTITUTE(SUBSTITUTE(SUBSTITUTE(W48,"(","-"),")",""),",","")," ","")),"" ))</f>
        <v>857.37</v>
      </c>
      <c r="CX48" s="9">
        <f t="shared" si="332"/>
        <v>817.16</v>
      </c>
      <c r="CY48" s="9">
        <f t="shared" si="332"/>
        <v>1194</v>
      </c>
      <c r="CZ48" s="9">
        <f t="shared" si="332"/>
        <v>428.79</v>
      </c>
      <c r="DA48" s="9">
        <f t="shared" si="332"/>
        <v>535.23</v>
      </c>
    </row>
    <row r="49" ht="15.75" customHeight="1">
      <c r="A49" s="33">
        <v>48.0</v>
      </c>
      <c r="B49" s="34" t="s">
        <v>192</v>
      </c>
      <c r="C49" s="12" t="s">
        <v>67</v>
      </c>
      <c r="D49" s="13" t="s">
        <v>193</v>
      </c>
      <c r="E49" s="35" t="s">
        <v>194</v>
      </c>
      <c r="F49" s="36">
        <v>1554.9</v>
      </c>
      <c r="G49" s="36">
        <v>78351.96</v>
      </c>
      <c r="H49" s="36">
        <v>24.81</v>
      </c>
      <c r="I49" s="36">
        <v>24.02</v>
      </c>
      <c r="J49" s="36">
        <v>4.17</v>
      </c>
      <c r="K49" s="36">
        <v>2.36</v>
      </c>
      <c r="L49" s="36">
        <v>15.03</v>
      </c>
      <c r="M49" s="36">
        <v>15.95</v>
      </c>
      <c r="N49" s="36">
        <v>19.03</v>
      </c>
      <c r="O49" s="36">
        <v>8.28</v>
      </c>
      <c r="P49" s="36">
        <v>4.0</v>
      </c>
      <c r="Q49" s="36">
        <v>4.87</v>
      </c>
      <c r="R49" s="36">
        <v>7.0</v>
      </c>
      <c r="S49" s="36">
        <v>0.55</v>
      </c>
      <c r="T49" s="36">
        <v>932739.0</v>
      </c>
      <c r="U49" s="36">
        <v>546575.0</v>
      </c>
      <c r="V49" s="36">
        <v>20.08</v>
      </c>
      <c r="W49" s="36">
        <v>1418.47</v>
      </c>
      <c r="X49" s="36">
        <v>1371.01</v>
      </c>
      <c r="Y49" s="36">
        <v>18673.78</v>
      </c>
      <c r="Z49" s="36">
        <v>5079.64</v>
      </c>
      <c r="AA49" s="36">
        <v>1973.15</v>
      </c>
      <c r="AB49" s="36">
        <v>119.13</v>
      </c>
      <c r="AC49" s="36">
        <v>4.69</v>
      </c>
      <c r="AD49" s="36">
        <v>1.17</v>
      </c>
      <c r="AE49" s="36">
        <v>4.9</v>
      </c>
      <c r="AF49" s="36">
        <v>51.09</v>
      </c>
      <c r="AG49" s="36">
        <v>0.0</v>
      </c>
      <c r="AH49" s="38">
        <f t="shared" si="7"/>
        <v>1.032889259</v>
      </c>
      <c r="AI49" s="38">
        <f t="shared" si="8"/>
        <v>1.766949153</v>
      </c>
      <c r="AJ49" s="38">
        <f t="shared" si="9"/>
        <v>1.134127395</v>
      </c>
      <c r="AK49" s="38">
        <f t="shared" si="10"/>
        <v>0.2383320085</v>
      </c>
      <c r="AL49" s="38">
        <f t="shared" si="11"/>
        <v>0.06483105209</v>
      </c>
      <c r="AM49" s="38">
        <f t="shared" si="12"/>
        <v>0.0251831607</v>
      </c>
      <c r="AN49" s="38">
        <f t="shared" si="13"/>
        <v>0.321</v>
      </c>
      <c r="AO49" s="38">
        <f t="shared" si="14"/>
        <v>0.346</v>
      </c>
      <c r="AP49" s="38">
        <f t="shared" si="15"/>
        <v>0.244</v>
      </c>
      <c r="AQ49" s="38">
        <f t="shared" si="16"/>
        <v>0.179</v>
      </c>
      <c r="AR49" s="38">
        <f t="shared" si="17"/>
        <v>0.115</v>
      </c>
      <c r="AS49" s="38">
        <f t="shared" si="18"/>
        <v>0.244</v>
      </c>
      <c r="AT49" s="38">
        <f t="shared" si="19"/>
        <v>0.218</v>
      </c>
      <c r="AU49" s="38">
        <f t="shared" si="20"/>
        <v>0.24365</v>
      </c>
      <c r="AV49" s="38">
        <f t="shared" si="21"/>
        <v>0.397</v>
      </c>
      <c r="AW49" s="38">
        <f t="shared" si="22"/>
        <v>0.615</v>
      </c>
      <c r="AX49" s="38">
        <f t="shared" si="23"/>
        <v>0.385</v>
      </c>
      <c r="AY49" s="38">
        <f t="shared" si="24"/>
        <v>0.256</v>
      </c>
      <c r="AZ49" s="38">
        <f t="shared" si="25"/>
        <v>0.308</v>
      </c>
      <c r="BA49" s="38">
        <f t="shared" si="26"/>
        <v>0.38635</v>
      </c>
      <c r="BB49" s="38">
        <f t="shared" si="27"/>
        <v>0.269</v>
      </c>
      <c r="BC49" s="38">
        <f t="shared" si="28"/>
        <v>0.244</v>
      </c>
      <c r="BD49" s="38">
        <f t="shared" si="29"/>
        <v>0.423</v>
      </c>
      <c r="BE49" s="38">
        <f t="shared" si="30"/>
        <v>0.295</v>
      </c>
      <c r="BF49" s="38">
        <f t="shared" si="31"/>
        <v>1</v>
      </c>
      <c r="BG49" s="38">
        <f t="shared" si="32"/>
        <v>0.167</v>
      </c>
      <c r="BH49" s="38">
        <f t="shared" si="33"/>
        <v>0.35005</v>
      </c>
      <c r="BI49" s="38">
        <f t="shared" si="34"/>
        <v>0.756</v>
      </c>
      <c r="BJ49" s="38">
        <f t="shared" si="35"/>
        <v>0.782</v>
      </c>
      <c r="BK49" s="38">
        <f t="shared" si="36"/>
        <v>0.744</v>
      </c>
      <c r="BL49" s="38">
        <f t="shared" si="37"/>
        <v>0.5459625</v>
      </c>
      <c r="BM49" s="38">
        <f t="shared" si="38"/>
        <v>0.756</v>
      </c>
      <c r="BN49" s="39">
        <f t="shared" si="39"/>
        <v>1</v>
      </c>
      <c r="BO49" s="38">
        <f t="shared" si="40"/>
        <v>0.878</v>
      </c>
      <c r="BP49" s="38">
        <f t="shared" si="41"/>
        <v>0.628</v>
      </c>
      <c r="BQ49" s="38">
        <f t="shared" si="42"/>
        <v>0.5678</v>
      </c>
      <c r="BR49" s="40" t="str">
        <f t="shared" si="43"/>
        <v>High</v>
      </c>
      <c r="BS49" s="38">
        <f t="shared" si="44"/>
        <v>0.254148125</v>
      </c>
      <c r="BT49" s="40" t="str">
        <f t="shared" si="45"/>
        <v>Y</v>
      </c>
      <c r="BU49" s="40" t="str">
        <f t="shared" si="46"/>
        <v>Y</v>
      </c>
      <c r="BV49" s="40" t="str">
        <f t="shared" si="47"/>
        <v>Y</v>
      </c>
      <c r="BW49" s="40" t="str">
        <f t="shared" si="48"/>
        <v>Y</v>
      </c>
      <c r="BX49" s="40" t="str">
        <f t="shared" si="49"/>
        <v>Y</v>
      </c>
      <c r="BY49" s="39">
        <f t="shared" si="50"/>
        <v>44</v>
      </c>
      <c r="BZ49" s="41" t="str">
        <f t="shared" si="51"/>
        <v/>
      </c>
      <c r="CA49" s="12">
        <f t="shared" ref="CA49:CG49" si="333">IF(ISNUMBER(F49),F49,IFERROR(VALUE(SUBSTITUTE(SUBSTITUTE(SUBSTITUTE(SUBSTITUTE(F49,"(","-"),")",""),",","")," ","")),"" ))</f>
        <v>1554.9</v>
      </c>
      <c r="CB49" s="12">
        <f t="shared" si="333"/>
        <v>78351.96</v>
      </c>
      <c r="CC49" s="12">
        <f t="shared" si="333"/>
        <v>24.81</v>
      </c>
      <c r="CD49" s="12">
        <f t="shared" si="333"/>
        <v>24.02</v>
      </c>
      <c r="CE49" s="12">
        <f t="shared" si="333"/>
        <v>4.17</v>
      </c>
      <c r="CF49" s="12">
        <f t="shared" si="333"/>
        <v>2.36</v>
      </c>
      <c r="CG49" s="12">
        <f t="shared" si="333"/>
        <v>15.03</v>
      </c>
      <c r="CH49" s="12">
        <f t="shared" si="53"/>
        <v>119.13</v>
      </c>
      <c r="CI49" s="12">
        <f t="shared" ref="CI49:CK49" si="334">IF(ISNUMBER(M49),M49,IFERROR(VALUE(SUBSTITUTE(SUBSTITUTE(SUBSTITUTE(SUBSTITUTE(SUBSTITUTE(M49,"(","-"),")",""),"%",""),",","")," ","")),"" ))</f>
        <v>15.95</v>
      </c>
      <c r="CJ49" s="12">
        <f t="shared" si="334"/>
        <v>19.03</v>
      </c>
      <c r="CK49" s="12">
        <f t="shared" si="334"/>
        <v>8.28</v>
      </c>
      <c r="CL49" s="12">
        <f t="shared" si="55"/>
        <v>4</v>
      </c>
      <c r="CM49" s="12">
        <f t="shared" si="56"/>
        <v>4.87</v>
      </c>
      <c r="CN49" s="12">
        <f t="shared" ref="CN49:CO49" si="335">IF(ISNUMBER(R49),R49,IFERROR(VALUE(SUBSTITUTE(SUBSTITUTE(SUBSTITUTE(SUBSTITUTE(R49,"(","-"),")",""),",","")," ","")),"" ))</f>
        <v>7</v>
      </c>
      <c r="CO49" s="12">
        <f t="shared" si="335"/>
        <v>0.55</v>
      </c>
      <c r="CP49" s="12">
        <f t="shared" ref="CP49:CR49" si="336">IF(ISNUMBER(AC49),AC49,IFERROR(VALUE(SUBSTITUTE(SUBSTITUTE(SUBSTITUTE(SUBSTITUTE(AC49,"(","-"),")",""),",","")," ","")),"" ))</f>
        <v>4.69</v>
      </c>
      <c r="CQ49" s="12">
        <f t="shared" si="336"/>
        <v>1.17</v>
      </c>
      <c r="CR49" s="12">
        <f t="shared" si="336"/>
        <v>4.9</v>
      </c>
      <c r="CS49" s="12">
        <f t="shared" ref="CS49:CT49" si="337">IF(ISNUMBER(AF49),AF49,IFERROR(VALUE(SUBSTITUTE(SUBSTITUTE(SUBSTITUTE(SUBSTITUTE(SUBSTITUTE(AF49,"(","-"),")",""),"%",""),",","")," ","")),"" ))</f>
        <v>51.09</v>
      </c>
      <c r="CT49" s="12">
        <f t="shared" si="337"/>
        <v>0</v>
      </c>
      <c r="CU49" s="12">
        <f t="shared" si="60"/>
        <v>546575</v>
      </c>
      <c r="CV49" s="12">
        <f t="shared" si="61"/>
        <v>20.08</v>
      </c>
      <c r="CW49" s="12">
        <f t="shared" ref="CW49:DA49" si="338">IF(ISNUMBER(W49),W49,IFERROR(VALUE(SUBSTITUTE(SUBSTITUTE(SUBSTITUTE(SUBSTITUTE(W49,"(","-"),")",""),",","")," ","")),"" ))</f>
        <v>1418.47</v>
      </c>
      <c r="CX49" s="12">
        <f t="shared" si="338"/>
        <v>1371.01</v>
      </c>
      <c r="CY49" s="12">
        <f t="shared" si="338"/>
        <v>18673.78</v>
      </c>
      <c r="CZ49" s="12">
        <f t="shared" si="338"/>
        <v>5079.64</v>
      </c>
      <c r="DA49" s="12">
        <f t="shared" si="338"/>
        <v>1973.15</v>
      </c>
    </row>
    <row r="50" ht="15.75" customHeight="1">
      <c r="A50" s="25">
        <v>49.0</v>
      </c>
      <c r="B50" s="26" t="s">
        <v>151</v>
      </c>
      <c r="C50" s="9" t="s">
        <v>55</v>
      </c>
      <c r="D50" s="10" t="s">
        <v>152</v>
      </c>
      <c r="E50" s="27" t="s">
        <v>153</v>
      </c>
      <c r="F50" s="28">
        <v>274.95</v>
      </c>
      <c r="G50" s="28">
        <v>4809.89</v>
      </c>
      <c r="H50" s="28">
        <v>20.13</v>
      </c>
      <c r="I50" s="28">
        <v>21.03</v>
      </c>
      <c r="J50" s="28">
        <v>4.39</v>
      </c>
      <c r="K50" s="28">
        <v>2.18</v>
      </c>
      <c r="L50" s="28">
        <v>8.62</v>
      </c>
      <c r="M50" s="28">
        <v>15.73</v>
      </c>
      <c r="N50" s="28">
        <v>17.44</v>
      </c>
      <c r="O50" s="28">
        <v>7.38</v>
      </c>
      <c r="P50" s="28">
        <v>4.0</v>
      </c>
      <c r="Q50" s="28">
        <v>7.13</v>
      </c>
      <c r="R50" s="28">
        <v>7.0</v>
      </c>
      <c r="S50" s="28">
        <v>1.01</v>
      </c>
      <c r="T50" s="28">
        <v>254672.0</v>
      </c>
      <c r="U50" s="28">
        <v>200749.0</v>
      </c>
      <c r="V50" s="28">
        <v>2.79</v>
      </c>
      <c r="W50" s="28">
        <v>276.55</v>
      </c>
      <c r="X50" s="28">
        <v>273.29</v>
      </c>
      <c r="Y50" s="28">
        <v>1942.44</v>
      </c>
      <c r="Z50" s="28">
        <v>613.82</v>
      </c>
      <c r="AA50" s="28">
        <v>185.25</v>
      </c>
      <c r="AB50" s="28">
        <v>77.88</v>
      </c>
      <c r="AC50" s="28">
        <v>4.26</v>
      </c>
      <c r="AD50" s="28">
        <v>0.5</v>
      </c>
      <c r="AE50" s="28">
        <v>5.47</v>
      </c>
      <c r="AF50" s="28">
        <v>60.24</v>
      </c>
      <c r="AG50" s="28">
        <v>0.0</v>
      </c>
      <c r="AH50" s="29">
        <f t="shared" si="7"/>
        <v>0.9572039943</v>
      </c>
      <c r="AI50" s="29">
        <f t="shared" si="8"/>
        <v>2.013761468</v>
      </c>
      <c r="AJ50" s="29">
        <f t="shared" si="9"/>
        <v>1.006074134</v>
      </c>
      <c r="AK50" s="29">
        <f t="shared" si="10"/>
        <v>0.4038429153</v>
      </c>
      <c r="AL50" s="29">
        <f t="shared" si="11"/>
        <v>0.1276162241</v>
      </c>
      <c r="AM50" s="29">
        <f t="shared" si="12"/>
        <v>0.0385143943</v>
      </c>
      <c r="AN50" s="29">
        <f t="shared" si="13"/>
        <v>0.564</v>
      </c>
      <c r="AO50" s="29">
        <f t="shared" si="14"/>
        <v>0.321</v>
      </c>
      <c r="AP50" s="29">
        <f t="shared" si="15"/>
        <v>0.782</v>
      </c>
      <c r="AQ50" s="29">
        <f t="shared" si="16"/>
        <v>0.577</v>
      </c>
      <c r="AR50" s="29">
        <f t="shared" si="17"/>
        <v>0.205</v>
      </c>
      <c r="AS50" s="29">
        <f t="shared" si="18"/>
        <v>0.41</v>
      </c>
      <c r="AT50" s="29">
        <f t="shared" si="19"/>
        <v>0.128</v>
      </c>
      <c r="AU50" s="29">
        <f t="shared" si="20"/>
        <v>0.475</v>
      </c>
      <c r="AV50" s="29">
        <f t="shared" si="21"/>
        <v>0.385</v>
      </c>
      <c r="AW50" s="29">
        <f t="shared" si="22"/>
        <v>0.551</v>
      </c>
      <c r="AX50" s="29">
        <f t="shared" si="23"/>
        <v>0.308</v>
      </c>
      <c r="AY50" s="29">
        <f t="shared" si="24"/>
        <v>0.256</v>
      </c>
      <c r="AZ50" s="29">
        <f t="shared" si="25"/>
        <v>0.308</v>
      </c>
      <c r="BA50" s="29">
        <f t="shared" si="26"/>
        <v>0.36285</v>
      </c>
      <c r="BB50" s="29">
        <f t="shared" si="27"/>
        <v>0.077</v>
      </c>
      <c r="BC50" s="29">
        <f t="shared" si="28"/>
        <v>0.218</v>
      </c>
      <c r="BD50" s="29">
        <f t="shared" si="29"/>
        <v>0.064</v>
      </c>
      <c r="BE50" s="29">
        <f t="shared" si="30"/>
        <v>0.41</v>
      </c>
      <c r="BF50" s="29">
        <f t="shared" si="31"/>
        <v>1</v>
      </c>
      <c r="BG50" s="29">
        <f t="shared" si="32"/>
        <v>0.397</v>
      </c>
      <c r="BH50" s="29">
        <f t="shared" si="33"/>
        <v>0.3044</v>
      </c>
      <c r="BI50" s="29">
        <f t="shared" si="34"/>
        <v>0.59</v>
      </c>
      <c r="BJ50" s="29">
        <f t="shared" si="35"/>
        <v>0.872</v>
      </c>
      <c r="BK50" s="29">
        <f t="shared" si="36"/>
        <v>0.295</v>
      </c>
      <c r="BL50" s="29">
        <f t="shared" si="37"/>
        <v>0.61505</v>
      </c>
      <c r="BM50" s="29">
        <f t="shared" si="38"/>
        <v>0.397</v>
      </c>
      <c r="BN50" s="30">
        <f t="shared" si="39"/>
        <v>1</v>
      </c>
      <c r="BO50" s="29">
        <f t="shared" si="40"/>
        <v>0.6985</v>
      </c>
      <c r="BP50" s="29">
        <f t="shared" si="41"/>
        <v>0.397</v>
      </c>
      <c r="BQ50" s="29">
        <f t="shared" si="42"/>
        <v>0.605</v>
      </c>
      <c r="BR50" s="31" t="str">
        <f t="shared" si="43"/>
        <v>High</v>
      </c>
      <c r="BS50" s="29">
        <f t="shared" si="44"/>
        <v>0.2807525</v>
      </c>
      <c r="BT50" s="31" t="str">
        <f t="shared" si="45"/>
        <v>Y</v>
      </c>
      <c r="BU50" s="31" t="str">
        <f t="shared" si="46"/>
        <v>Y</v>
      </c>
      <c r="BV50" s="31" t="str">
        <f t="shared" si="47"/>
        <v>Y</v>
      </c>
      <c r="BW50" s="31" t="str">
        <f t="shared" si="48"/>
        <v>Y</v>
      </c>
      <c r="BX50" s="31" t="str">
        <f t="shared" si="49"/>
        <v>Y</v>
      </c>
      <c r="BY50" s="30">
        <f t="shared" si="50"/>
        <v>39</v>
      </c>
      <c r="BZ50" s="32" t="str">
        <f t="shared" si="51"/>
        <v/>
      </c>
      <c r="CA50" s="9">
        <f t="shared" ref="CA50:CG50" si="339">IF(ISNUMBER(F50),F50,IFERROR(VALUE(SUBSTITUTE(SUBSTITUTE(SUBSTITUTE(SUBSTITUTE(F50,"(","-"),")",""),",","")," ","")),"" ))</f>
        <v>274.95</v>
      </c>
      <c r="CB50" s="9">
        <f t="shared" si="339"/>
        <v>4809.89</v>
      </c>
      <c r="CC50" s="9">
        <f t="shared" si="339"/>
        <v>20.13</v>
      </c>
      <c r="CD50" s="9">
        <f t="shared" si="339"/>
        <v>21.03</v>
      </c>
      <c r="CE50" s="9">
        <f t="shared" si="339"/>
        <v>4.39</v>
      </c>
      <c r="CF50" s="9">
        <f t="shared" si="339"/>
        <v>2.18</v>
      </c>
      <c r="CG50" s="9">
        <f t="shared" si="339"/>
        <v>8.62</v>
      </c>
      <c r="CH50" s="9">
        <f t="shared" si="53"/>
        <v>77.88</v>
      </c>
      <c r="CI50" s="9">
        <f t="shared" ref="CI50:CK50" si="340">IF(ISNUMBER(M50),M50,IFERROR(VALUE(SUBSTITUTE(SUBSTITUTE(SUBSTITUTE(SUBSTITUTE(SUBSTITUTE(M50,"(","-"),")",""),"%",""),",","")," ","")),"" ))</f>
        <v>15.73</v>
      </c>
      <c r="CJ50" s="9">
        <f t="shared" si="340"/>
        <v>17.44</v>
      </c>
      <c r="CK50" s="9">
        <f t="shared" si="340"/>
        <v>7.38</v>
      </c>
      <c r="CL50" s="9">
        <f t="shared" si="55"/>
        <v>4</v>
      </c>
      <c r="CM50" s="9">
        <f t="shared" si="56"/>
        <v>7.13</v>
      </c>
      <c r="CN50" s="9">
        <f t="shared" ref="CN50:CO50" si="341">IF(ISNUMBER(R50),R50,IFERROR(VALUE(SUBSTITUTE(SUBSTITUTE(SUBSTITUTE(SUBSTITUTE(R50,"(","-"),")",""),",","")," ","")),"" ))</f>
        <v>7</v>
      </c>
      <c r="CO50" s="9">
        <f t="shared" si="341"/>
        <v>1.01</v>
      </c>
      <c r="CP50" s="9">
        <f t="shared" ref="CP50:CR50" si="342">IF(ISNUMBER(AC50),AC50,IFERROR(VALUE(SUBSTITUTE(SUBSTITUTE(SUBSTITUTE(SUBSTITUTE(AC50,"(","-"),")",""),",","")," ","")),"" ))</f>
        <v>4.26</v>
      </c>
      <c r="CQ50" s="9">
        <f t="shared" si="342"/>
        <v>0.5</v>
      </c>
      <c r="CR50" s="9">
        <f t="shared" si="342"/>
        <v>5.47</v>
      </c>
      <c r="CS50" s="9">
        <f t="shared" ref="CS50:CT50" si="343">IF(ISNUMBER(AF50),AF50,IFERROR(VALUE(SUBSTITUTE(SUBSTITUTE(SUBSTITUTE(SUBSTITUTE(SUBSTITUTE(AF50,"(","-"),")",""),"%",""),",","")," ","")),"" ))</f>
        <v>60.24</v>
      </c>
      <c r="CT50" s="9">
        <f t="shared" si="343"/>
        <v>0</v>
      </c>
      <c r="CU50" s="9">
        <f t="shared" si="60"/>
        <v>200749</v>
      </c>
      <c r="CV50" s="9">
        <f t="shared" si="61"/>
        <v>2.79</v>
      </c>
      <c r="CW50" s="9">
        <f t="shared" ref="CW50:DA50" si="344">IF(ISNUMBER(W50),W50,IFERROR(VALUE(SUBSTITUTE(SUBSTITUTE(SUBSTITUTE(SUBSTITUTE(W50,"(","-"),")",""),",","")," ","")),"" ))</f>
        <v>276.55</v>
      </c>
      <c r="CX50" s="9">
        <f t="shared" si="344"/>
        <v>273.29</v>
      </c>
      <c r="CY50" s="9">
        <f t="shared" si="344"/>
        <v>1942.44</v>
      </c>
      <c r="CZ50" s="9">
        <f t="shared" si="344"/>
        <v>613.82</v>
      </c>
      <c r="DA50" s="9">
        <f t="shared" si="344"/>
        <v>185.25</v>
      </c>
    </row>
    <row r="51" ht="15.75" customHeight="1">
      <c r="A51" s="43">
        <v>50.0</v>
      </c>
      <c r="B51" s="34" t="s">
        <v>183</v>
      </c>
      <c r="C51" s="12" t="s">
        <v>46</v>
      </c>
      <c r="D51" s="13" t="s">
        <v>184</v>
      </c>
      <c r="E51" s="44" t="s">
        <v>185</v>
      </c>
      <c r="F51" s="45">
        <v>180.87</v>
      </c>
      <c r="G51" s="45">
        <v>1135.86</v>
      </c>
      <c r="H51" s="45">
        <v>27.46</v>
      </c>
      <c r="I51" s="45">
        <v>27.29</v>
      </c>
      <c r="J51" s="45">
        <v>5.49</v>
      </c>
      <c r="K51" s="45">
        <v>3.26</v>
      </c>
      <c r="L51" s="45">
        <v>12.86</v>
      </c>
      <c r="M51" s="45">
        <v>15.65</v>
      </c>
      <c r="N51" s="45">
        <v>18.04</v>
      </c>
      <c r="O51" s="45">
        <v>5.66</v>
      </c>
      <c r="P51" s="45">
        <v>4.0</v>
      </c>
      <c r="Q51" s="45">
        <v>5.18</v>
      </c>
      <c r="R51" s="45">
        <v>8.0</v>
      </c>
      <c r="S51" s="45">
        <v>0.64</v>
      </c>
      <c r="T51" s="45">
        <v>352968.0</v>
      </c>
      <c r="U51" s="45">
        <v>362987.0</v>
      </c>
      <c r="V51" s="45">
        <v>10.79</v>
      </c>
      <c r="W51" s="45">
        <v>176.01</v>
      </c>
      <c r="X51" s="45">
        <v>155.47</v>
      </c>
      <c r="Y51" s="45">
        <v>229.79</v>
      </c>
      <c r="Z51" s="45">
        <v>1.83</v>
      </c>
      <c r="AA51" s="45">
        <v>-4.99</v>
      </c>
      <c r="AB51" s="45">
        <v>-682.88</v>
      </c>
      <c r="AC51" s="45">
        <v>6.66</v>
      </c>
      <c r="AD51" s="45">
        <v>0.7</v>
      </c>
      <c r="AE51" s="45">
        <v>5.8</v>
      </c>
      <c r="AF51" s="45">
        <v>74.66</v>
      </c>
      <c r="AG51" s="45">
        <v>0.0</v>
      </c>
      <c r="AH51" s="38">
        <f t="shared" si="7"/>
        <v>1.006229388</v>
      </c>
      <c r="AI51" s="38">
        <f t="shared" si="8"/>
        <v>1.68404908</v>
      </c>
      <c r="AJ51" s="38">
        <f t="shared" si="9"/>
        <v>1.163375571</v>
      </c>
      <c r="AK51" s="38">
        <f t="shared" si="10"/>
        <v>0.2023048615</v>
      </c>
      <c r="AL51" s="38">
        <f t="shared" si="11"/>
        <v>0.001611114046</v>
      </c>
      <c r="AM51" s="38">
        <f t="shared" si="12"/>
        <v>-0.004393147043</v>
      </c>
      <c r="AN51" s="38">
        <f t="shared" si="13"/>
        <v>0.231</v>
      </c>
      <c r="AO51" s="38">
        <f t="shared" si="14"/>
        <v>0.128</v>
      </c>
      <c r="AP51" s="38">
        <f t="shared" si="15"/>
        <v>0.423</v>
      </c>
      <c r="AQ51" s="38">
        <f t="shared" si="16"/>
        <v>0.231</v>
      </c>
      <c r="AR51" s="38" t="str">
        <f t="shared" si="17"/>
        <v/>
      </c>
      <c r="AS51" s="38">
        <f t="shared" si="18"/>
        <v>0.282</v>
      </c>
      <c r="AT51" s="38">
        <f t="shared" si="19"/>
        <v>0.295</v>
      </c>
      <c r="AU51" s="38">
        <f t="shared" si="20"/>
        <v>0.2681470588</v>
      </c>
      <c r="AV51" s="38">
        <f t="shared" si="21"/>
        <v>0.372</v>
      </c>
      <c r="AW51" s="38">
        <f t="shared" si="22"/>
        <v>0.564</v>
      </c>
      <c r="AX51" s="38">
        <f t="shared" si="23"/>
        <v>0.167</v>
      </c>
      <c r="AY51" s="38">
        <f t="shared" si="24"/>
        <v>0.551</v>
      </c>
      <c r="AZ51" s="38">
        <f t="shared" si="25"/>
        <v>0.308</v>
      </c>
      <c r="BA51" s="38">
        <f t="shared" si="26"/>
        <v>0.42185</v>
      </c>
      <c r="BB51" s="38">
        <f t="shared" si="27"/>
        <v>0.218</v>
      </c>
      <c r="BC51" s="38">
        <f t="shared" si="28"/>
        <v>0.359</v>
      </c>
      <c r="BD51" s="38">
        <f t="shared" si="29"/>
        <v>0.167</v>
      </c>
      <c r="BE51" s="38">
        <f t="shared" si="30"/>
        <v>0.487</v>
      </c>
      <c r="BF51" s="38">
        <f t="shared" si="31"/>
        <v>1</v>
      </c>
      <c r="BG51" s="38">
        <f t="shared" si="32"/>
        <v>0.885</v>
      </c>
      <c r="BH51" s="38">
        <f t="shared" si="33"/>
        <v>0.4462</v>
      </c>
      <c r="BI51" s="38">
        <f t="shared" si="34"/>
        <v>0.718</v>
      </c>
      <c r="BJ51" s="38">
        <f t="shared" si="35"/>
        <v>0.705</v>
      </c>
      <c r="BK51" s="38">
        <f t="shared" si="36"/>
        <v>0.808</v>
      </c>
      <c r="BL51" s="38">
        <f t="shared" si="37"/>
        <v>0.8213</v>
      </c>
      <c r="BM51" s="38">
        <f t="shared" si="38"/>
        <v>0.538</v>
      </c>
      <c r="BN51" s="39">
        <f t="shared" si="39"/>
        <v>1</v>
      </c>
      <c r="BO51" s="38">
        <f t="shared" si="40"/>
        <v>0.769</v>
      </c>
      <c r="BP51" s="38">
        <f t="shared" si="41"/>
        <v>0.59</v>
      </c>
      <c r="BQ51" s="38">
        <f t="shared" si="42"/>
        <v>0.6268</v>
      </c>
      <c r="BR51" s="40" t="str">
        <f t="shared" si="43"/>
        <v>High</v>
      </c>
      <c r="BS51" s="38" t="str">
        <f t="shared" si="44"/>
        <v/>
      </c>
      <c r="BT51" s="40" t="str">
        <f t="shared" si="45"/>
        <v>Y</v>
      </c>
      <c r="BU51" s="40" t="str">
        <f t="shared" si="46"/>
        <v>Y</v>
      </c>
      <c r="BV51" s="40" t="str">
        <f t="shared" si="47"/>
        <v>Y</v>
      </c>
      <c r="BW51" s="40" t="str">
        <f t="shared" si="48"/>
        <v>Y</v>
      </c>
      <c r="BX51" s="40" t="str">
        <f t="shared" si="49"/>
        <v>Y</v>
      </c>
      <c r="BY51" s="39">
        <f t="shared" si="50"/>
        <v>1</v>
      </c>
      <c r="BZ51" s="41">
        <f t="shared" si="51"/>
        <v>0.04</v>
      </c>
      <c r="CA51" s="12">
        <f t="shared" ref="CA51:CG51" si="345">IF(ISNUMBER(F51),F51,IFERROR(VALUE(SUBSTITUTE(SUBSTITUTE(SUBSTITUTE(SUBSTITUTE(F51,"(","-"),")",""),",","")," ","")),"" ))</f>
        <v>180.87</v>
      </c>
      <c r="CB51" s="12">
        <f t="shared" si="345"/>
        <v>1135.86</v>
      </c>
      <c r="CC51" s="12">
        <f t="shared" si="345"/>
        <v>27.46</v>
      </c>
      <c r="CD51" s="12">
        <f t="shared" si="345"/>
        <v>27.29</v>
      </c>
      <c r="CE51" s="12">
        <f t="shared" si="345"/>
        <v>5.49</v>
      </c>
      <c r="CF51" s="12">
        <f t="shared" si="345"/>
        <v>3.26</v>
      </c>
      <c r="CG51" s="12">
        <f t="shared" si="345"/>
        <v>12.86</v>
      </c>
      <c r="CH51" s="12">
        <f t="shared" si="53"/>
        <v>-682.88</v>
      </c>
      <c r="CI51" s="12">
        <f t="shared" ref="CI51:CK51" si="346">IF(ISNUMBER(M51),M51,IFERROR(VALUE(SUBSTITUTE(SUBSTITUTE(SUBSTITUTE(SUBSTITUTE(SUBSTITUTE(M51,"(","-"),")",""),"%",""),",","")," ","")),"" ))</f>
        <v>15.65</v>
      </c>
      <c r="CJ51" s="12">
        <f t="shared" si="346"/>
        <v>18.04</v>
      </c>
      <c r="CK51" s="12">
        <f t="shared" si="346"/>
        <v>5.66</v>
      </c>
      <c r="CL51" s="12">
        <f t="shared" si="55"/>
        <v>4</v>
      </c>
      <c r="CM51" s="12">
        <f t="shared" si="56"/>
        <v>5.18</v>
      </c>
      <c r="CN51" s="12">
        <f t="shared" ref="CN51:CO51" si="347">IF(ISNUMBER(R51),R51,IFERROR(VALUE(SUBSTITUTE(SUBSTITUTE(SUBSTITUTE(SUBSTITUTE(R51,"(","-"),")",""),",","")," ","")),"" ))</f>
        <v>8</v>
      </c>
      <c r="CO51" s="12">
        <f t="shared" si="347"/>
        <v>0.64</v>
      </c>
      <c r="CP51" s="12">
        <f t="shared" ref="CP51:CR51" si="348">IF(ISNUMBER(AC51),AC51,IFERROR(VALUE(SUBSTITUTE(SUBSTITUTE(SUBSTITUTE(SUBSTITUTE(AC51,"(","-"),")",""),",","")," ","")),"" ))</f>
        <v>6.66</v>
      </c>
      <c r="CQ51" s="12">
        <f t="shared" si="348"/>
        <v>0.7</v>
      </c>
      <c r="CR51" s="12">
        <f t="shared" si="348"/>
        <v>5.8</v>
      </c>
      <c r="CS51" s="12">
        <f t="shared" ref="CS51:CT51" si="349">IF(ISNUMBER(AF51),AF51,IFERROR(VALUE(SUBSTITUTE(SUBSTITUTE(SUBSTITUTE(SUBSTITUTE(SUBSTITUTE(AF51,"(","-"),")",""),"%",""),",","")," ","")),"" ))</f>
        <v>74.66</v>
      </c>
      <c r="CT51" s="12">
        <f t="shared" si="349"/>
        <v>0</v>
      </c>
      <c r="CU51" s="12">
        <f t="shared" si="60"/>
        <v>362987</v>
      </c>
      <c r="CV51" s="12">
        <f t="shared" si="61"/>
        <v>10.79</v>
      </c>
      <c r="CW51" s="12">
        <f t="shared" ref="CW51:DA51" si="350">IF(ISNUMBER(W51),W51,IFERROR(VALUE(SUBSTITUTE(SUBSTITUTE(SUBSTITUTE(SUBSTITUTE(W51,"(","-"),")",""),",","")," ","")),"" ))</f>
        <v>176.01</v>
      </c>
      <c r="CX51" s="12">
        <f t="shared" si="350"/>
        <v>155.47</v>
      </c>
      <c r="CY51" s="12">
        <f t="shared" si="350"/>
        <v>229.79</v>
      </c>
      <c r="CZ51" s="12">
        <f t="shared" si="350"/>
        <v>1.83</v>
      </c>
      <c r="DA51" s="12">
        <f t="shared" si="350"/>
        <v>-4.99</v>
      </c>
    </row>
    <row r="52" ht="15.75" customHeight="1">
      <c r="A52" s="25">
        <v>51.0</v>
      </c>
      <c r="B52" s="26" t="s">
        <v>345</v>
      </c>
      <c r="C52" s="9" t="s">
        <v>55</v>
      </c>
      <c r="D52" s="10" t="s">
        <v>346</v>
      </c>
      <c r="E52" s="27" t="s">
        <v>347</v>
      </c>
      <c r="F52" s="28">
        <v>287.5</v>
      </c>
      <c r="G52" s="28">
        <v>686.92</v>
      </c>
      <c r="H52" s="28">
        <v>29.94</v>
      </c>
      <c r="I52" s="28">
        <v>21.03</v>
      </c>
      <c r="J52" s="28">
        <v>3.7</v>
      </c>
      <c r="K52" s="28">
        <v>2.18</v>
      </c>
      <c r="L52" s="28">
        <v>8.1</v>
      </c>
      <c r="M52" s="28">
        <v>15.59</v>
      </c>
      <c r="N52" s="28">
        <v>16.72</v>
      </c>
      <c r="O52" s="28">
        <v>6.42</v>
      </c>
      <c r="P52" s="28">
        <v>5.0</v>
      </c>
      <c r="Q52" s="28">
        <v>5.47</v>
      </c>
      <c r="R52" s="28">
        <v>6.0</v>
      </c>
      <c r="S52" s="28">
        <v>0.97</v>
      </c>
      <c r="T52" s="28">
        <v>800.0</v>
      </c>
      <c r="U52" s="28">
        <v>15207.0</v>
      </c>
      <c r="V52" s="28">
        <v>-8.73</v>
      </c>
      <c r="W52" s="28">
        <v>289.58</v>
      </c>
      <c r="X52" s="28">
        <v>247.11</v>
      </c>
      <c r="Y52" s="42"/>
      <c r="Z52" s="42"/>
      <c r="AA52" s="28">
        <v>-142.99</v>
      </c>
      <c r="AB52" s="28">
        <v>-14.42</v>
      </c>
      <c r="AC52" s="28">
        <v>2.92</v>
      </c>
      <c r="AD52" s="28">
        <v>1.24</v>
      </c>
      <c r="AE52" s="28">
        <v>5.22</v>
      </c>
      <c r="AF52" s="28">
        <v>74.27</v>
      </c>
      <c r="AG52" s="28">
        <v>0.0</v>
      </c>
      <c r="AH52" s="29">
        <f t="shared" si="7"/>
        <v>1.423680456</v>
      </c>
      <c r="AI52" s="29">
        <f t="shared" si="8"/>
        <v>1.697247706</v>
      </c>
      <c r="AJ52" s="29">
        <f t="shared" si="9"/>
        <v>1.163449476</v>
      </c>
      <c r="AK52" s="29">
        <f t="shared" si="10"/>
        <v>0</v>
      </c>
      <c r="AL52" s="29">
        <f t="shared" si="11"/>
        <v>0</v>
      </c>
      <c r="AM52" s="29">
        <f t="shared" si="12"/>
        <v>-0.2081610668</v>
      </c>
      <c r="AN52" s="29">
        <f t="shared" si="13"/>
        <v>0.167</v>
      </c>
      <c r="AO52" s="29">
        <f t="shared" si="14"/>
        <v>0.462</v>
      </c>
      <c r="AP52" s="29">
        <f t="shared" si="15"/>
        <v>0.846</v>
      </c>
      <c r="AQ52" s="29">
        <f t="shared" si="16"/>
        <v>0.308</v>
      </c>
      <c r="AR52" s="29" t="str">
        <f t="shared" si="17"/>
        <v/>
      </c>
      <c r="AS52" s="29">
        <f t="shared" si="18"/>
        <v>0.09</v>
      </c>
      <c r="AT52" s="29">
        <f t="shared" si="19"/>
        <v>0.282</v>
      </c>
      <c r="AU52" s="29">
        <f t="shared" si="20"/>
        <v>0.4070588235</v>
      </c>
      <c r="AV52" s="29">
        <f t="shared" si="21"/>
        <v>0.359</v>
      </c>
      <c r="AW52" s="29">
        <f t="shared" si="22"/>
        <v>0.526</v>
      </c>
      <c r="AX52" s="29">
        <f t="shared" si="23"/>
        <v>0.205</v>
      </c>
      <c r="AY52" s="29">
        <f t="shared" si="24"/>
        <v>0</v>
      </c>
      <c r="AZ52" s="29">
        <f t="shared" si="25"/>
        <v>0.577</v>
      </c>
      <c r="BA52" s="29">
        <f t="shared" si="26"/>
        <v>0.33085</v>
      </c>
      <c r="BB52" s="29">
        <f t="shared" si="27"/>
        <v>0.09</v>
      </c>
      <c r="BC52" s="29">
        <f t="shared" si="28"/>
        <v>0.103</v>
      </c>
      <c r="BD52" s="29">
        <f t="shared" si="29"/>
        <v>0.462</v>
      </c>
      <c r="BE52" s="29">
        <f t="shared" si="30"/>
        <v>0.359</v>
      </c>
      <c r="BF52" s="29">
        <f t="shared" si="31"/>
        <v>1</v>
      </c>
      <c r="BG52" s="29">
        <f t="shared" si="32"/>
        <v>0.846</v>
      </c>
      <c r="BH52" s="29">
        <f t="shared" si="33"/>
        <v>0.363</v>
      </c>
      <c r="BI52" s="29">
        <f t="shared" si="34"/>
        <v>0.91</v>
      </c>
      <c r="BJ52" s="29">
        <f t="shared" si="35"/>
        <v>0.718</v>
      </c>
      <c r="BK52" s="29">
        <f t="shared" si="36"/>
        <v>0.821</v>
      </c>
      <c r="BL52" s="29">
        <f t="shared" si="37"/>
        <v>0.78685</v>
      </c>
      <c r="BM52" s="29">
        <f t="shared" si="38"/>
        <v>0.09</v>
      </c>
      <c r="BN52" s="30">
        <f t="shared" si="39"/>
        <v>1</v>
      </c>
      <c r="BO52" s="29">
        <f t="shared" si="40"/>
        <v>0.545</v>
      </c>
      <c r="BP52" s="29">
        <f t="shared" si="41"/>
        <v>0.051</v>
      </c>
      <c r="BQ52" s="29">
        <f t="shared" si="42"/>
        <v>0.6078</v>
      </c>
      <c r="BR52" s="31" t="str">
        <f t="shared" si="43"/>
        <v>High</v>
      </c>
      <c r="BS52" s="29" t="str">
        <f t="shared" si="44"/>
        <v/>
      </c>
      <c r="BT52" s="31" t="str">
        <f t="shared" si="45"/>
        <v>N</v>
      </c>
      <c r="BU52" s="31" t="str">
        <f t="shared" si="46"/>
        <v>Y</v>
      </c>
      <c r="BV52" s="31" t="str">
        <f t="shared" si="47"/>
        <v>Y</v>
      </c>
      <c r="BW52" s="31" t="str">
        <f t="shared" si="48"/>
        <v>Y</v>
      </c>
      <c r="BX52" s="31" t="str">
        <f t="shared" si="49"/>
        <v>N</v>
      </c>
      <c r="BY52" s="30" t="str">
        <f t="shared" si="50"/>
        <v/>
      </c>
      <c r="BZ52" s="32" t="str">
        <f t="shared" si="51"/>
        <v/>
      </c>
      <c r="CA52" s="9">
        <f t="shared" ref="CA52:CG52" si="351">IF(ISNUMBER(F52),F52,IFERROR(VALUE(SUBSTITUTE(SUBSTITUTE(SUBSTITUTE(SUBSTITUTE(F52,"(","-"),")",""),",","")," ","")),"" ))</f>
        <v>287.5</v>
      </c>
      <c r="CB52" s="9">
        <f t="shared" si="351"/>
        <v>686.92</v>
      </c>
      <c r="CC52" s="9">
        <f t="shared" si="351"/>
        <v>29.94</v>
      </c>
      <c r="CD52" s="9">
        <f t="shared" si="351"/>
        <v>21.03</v>
      </c>
      <c r="CE52" s="9">
        <f t="shared" si="351"/>
        <v>3.7</v>
      </c>
      <c r="CF52" s="9">
        <f t="shared" si="351"/>
        <v>2.18</v>
      </c>
      <c r="CG52" s="9">
        <f t="shared" si="351"/>
        <v>8.1</v>
      </c>
      <c r="CH52" s="9">
        <f t="shared" si="53"/>
        <v>-14.42</v>
      </c>
      <c r="CI52" s="9">
        <f t="shared" ref="CI52:CK52" si="352">IF(ISNUMBER(M52),M52,IFERROR(VALUE(SUBSTITUTE(SUBSTITUTE(SUBSTITUTE(SUBSTITUTE(SUBSTITUTE(M52,"(","-"),")",""),"%",""),",","")," ","")),"" ))</f>
        <v>15.59</v>
      </c>
      <c r="CJ52" s="9">
        <f t="shared" si="352"/>
        <v>16.72</v>
      </c>
      <c r="CK52" s="9">
        <f t="shared" si="352"/>
        <v>6.42</v>
      </c>
      <c r="CL52" s="9">
        <f t="shared" si="55"/>
        <v>5</v>
      </c>
      <c r="CM52" s="9">
        <f t="shared" si="56"/>
        <v>5.47</v>
      </c>
      <c r="CN52" s="9">
        <f t="shared" ref="CN52:CO52" si="353">IF(ISNUMBER(R52),R52,IFERROR(VALUE(SUBSTITUTE(SUBSTITUTE(SUBSTITUTE(SUBSTITUTE(R52,"(","-"),")",""),",","")," ","")),"" ))</f>
        <v>6</v>
      </c>
      <c r="CO52" s="9">
        <f t="shared" si="353"/>
        <v>0.97</v>
      </c>
      <c r="CP52" s="9">
        <f t="shared" ref="CP52:CR52" si="354">IF(ISNUMBER(AC52),AC52,IFERROR(VALUE(SUBSTITUTE(SUBSTITUTE(SUBSTITUTE(SUBSTITUTE(AC52,"(","-"),")",""),",","")," ","")),"" ))</f>
        <v>2.92</v>
      </c>
      <c r="CQ52" s="9">
        <f t="shared" si="354"/>
        <v>1.24</v>
      </c>
      <c r="CR52" s="9">
        <f t="shared" si="354"/>
        <v>5.22</v>
      </c>
      <c r="CS52" s="9">
        <f t="shared" ref="CS52:CT52" si="355">IF(ISNUMBER(AF52),AF52,IFERROR(VALUE(SUBSTITUTE(SUBSTITUTE(SUBSTITUTE(SUBSTITUTE(SUBSTITUTE(AF52,"(","-"),")",""),"%",""),",","")," ","")),"" ))</f>
        <v>74.27</v>
      </c>
      <c r="CT52" s="9">
        <f t="shared" si="355"/>
        <v>0</v>
      </c>
      <c r="CU52" s="9">
        <f t="shared" si="60"/>
        <v>15207</v>
      </c>
      <c r="CV52" s="9">
        <f t="shared" si="61"/>
        <v>-8.73</v>
      </c>
      <c r="CW52" s="9">
        <f t="shared" ref="CW52:DA52" si="356">IF(ISNUMBER(W52),W52,IFERROR(VALUE(SUBSTITUTE(SUBSTITUTE(SUBSTITUTE(SUBSTITUTE(W52,"(","-"),")",""),",","")," ","")),"" ))</f>
        <v>289.58</v>
      </c>
      <c r="CX52" s="9">
        <f t="shared" si="356"/>
        <v>247.11</v>
      </c>
      <c r="CY52" s="9">
        <f t="shared" si="356"/>
        <v>0</v>
      </c>
      <c r="CZ52" s="9">
        <f t="shared" si="356"/>
        <v>0</v>
      </c>
      <c r="DA52" s="9">
        <f t="shared" si="356"/>
        <v>-142.99</v>
      </c>
    </row>
    <row r="53" ht="15.75" customHeight="1">
      <c r="A53" s="33">
        <v>52.0</v>
      </c>
      <c r="B53" s="34" t="s">
        <v>348</v>
      </c>
      <c r="C53" s="12" t="s">
        <v>67</v>
      </c>
      <c r="D53" s="13" t="s">
        <v>349</v>
      </c>
      <c r="E53" s="35" t="s">
        <v>350</v>
      </c>
      <c r="F53" s="36">
        <v>811.8</v>
      </c>
      <c r="G53" s="36">
        <v>1836.41</v>
      </c>
      <c r="H53" s="36">
        <v>18.67</v>
      </c>
      <c r="I53" s="36">
        <v>27.29</v>
      </c>
      <c r="J53" s="36">
        <v>2.34</v>
      </c>
      <c r="K53" s="36">
        <v>3.26</v>
      </c>
      <c r="L53" s="36">
        <v>12.59</v>
      </c>
      <c r="M53" s="36">
        <v>15.43</v>
      </c>
      <c r="N53" s="36">
        <v>12.33</v>
      </c>
      <c r="O53" s="36">
        <v>9.27</v>
      </c>
      <c r="P53" s="36">
        <v>6.0</v>
      </c>
      <c r="Q53" s="36">
        <v>6.89</v>
      </c>
      <c r="R53" s="36">
        <v>8.0</v>
      </c>
      <c r="S53" s="36">
        <v>0.0</v>
      </c>
      <c r="T53" s="36">
        <v>18756.0</v>
      </c>
      <c r="U53" s="36">
        <v>44266.0</v>
      </c>
      <c r="V53" s="36">
        <v>-5.56</v>
      </c>
      <c r="W53" s="36">
        <v>809.14</v>
      </c>
      <c r="X53" s="36">
        <v>806.79</v>
      </c>
      <c r="Y53" s="36">
        <v>214.41</v>
      </c>
      <c r="Z53" s="36">
        <v>101.5</v>
      </c>
      <c r="AA53" s="36">
        <v>96.66</v>
      </c>
      <c r="AB53" s="36">
        <v>56.94</v>
      </c>
      <c r="AC53" s="36">
        <v>393.91</v>
      </c>
      <c r="AD53" s="36">
        <v>2.03</v>
      </c>
      <c r="AE53" s="36">
        <v>5.65</v>
      </c>
      <c r="AF53" s="36">
        <v>70.37</v>
      </c>
      <c r="AG53" s="36">
        <v>0.0</v>
      </c>
      <c r="AH53" s="38">
        <f t="shared" si="7"/>
        <v>0.6841333822</v>
      </c>
      <c r="AI53" s="38">
        <f t="shared" si="8"/>
        <v>0.717791411</v>
      </c>
      <c r="AJ53" s="38">
        <f t="shared" si="9"/>
        <v>1.006209794</v>
      </c>
      <c r="AK53" s="38">
        <f t="shared" si="10"/>
        <v>0.116754973</v>
      </c>
      <c r="AL53" s="38">
        <f t="shared" si="11"/>
        <v>0.05527088177</v>
      </c>
      <c r="AM53" s="38">
        <f t="shared" si="12"/>
        <v>0.05263530475</v>
      </c>
      <c r="AN53" s="38">
        <f t="shared" si="13"/>
        <v>0.615</v>
      </c>
      <c r="AO53" s="38">
        <f t="shared" si="14"/>
        <v>0.821</v>
      </c>
      <c r="AP53" s="38">
        <f t="shared" si="15"/>
        <v>0.462</v>
      </c>
      <c r="AQ53" s="38">
        <f t="shared" si="16"/>
        <v>0.551</v>
      </c>
      <c r="AR53" s="38">
        <f t="shared" si="17"/>
        <v>0.269</v>
      </c>
      <c r="AS53" s="38">
        <f t="shared" si="18"/>
        <v>0.731</v>
      </c>
      <c r="AT53" s="38">
        <f t="shared" si="19"/>
        <v>0.949</v>
      </c>
      <c r="AU53" s="38">
        <f t="shared" si="20"/>
        <v>0.58755</v>
      </c>
      <c r="AV53" s="38">
        <f t="shared" si="21"/>
        <v>0.346</v>
      </c>
      <c r="AW53" s="38">
        <f t="shared" si="22"/>
        <v>0.115</v>
      </c>
      <c r="AX53" s="38">
        <f t="shared" si="23"/>
        <v>0.513</v>
      </c>
      <c r="AY53" s="38">
        <f t="shared" si="24"/>
        <v>0.551</v>
      </c>
      <c r="AZ53" s="38">
        <f t="shared" si="25"/>
        <v>0.756</v>
      </c>
      <c r="BA53" s="38">
        <f t="shared" si="26"/>
        <v>0.44975</v>
      </c>
      <c r="BB53" s="38">
        <f t="shared" si="27"/>
        <v>1</v>
      </c>
      <c r="BC53" s="38">
        <f t="shared" si="28"/>
        <v>0.949</v>
      </c>
      <c r="BD53" s="38">
        <f t="shared" si="29"/>
        <v>0.667</v>
      </c>
      <c r="BE53" s="38">
        <f t="shared" si="30"/>
        <v>0.474</v>
      </c>
      <c r="BF53" s="38">
        <f t="shared" si="31"/>
        <v>1</v>
      </c>
      <c r="BG53" s="38">
        <f t="shared" si="32"/>
        <v>0.718</v>
      </c>
      <c r="BH53" s="38">
        <f t="shared" si="33"/>
        <v>0.79935</v>
      </c>
      <c r="BI53" s="38">
        <f t="shared" si="34"/>
        <v>0.269</v>
      </c>
      <c r="BJ53" s="38">
        <f t="shared" si="35"/>
        <v>0.051</v>
      </c>
      <c r="BK53" s="38">
        <f t="shared" si="36"/>
        <v>0.308</v>
      </c>
      <c r="BL53" s="38">
        <f t="shared" si="37"/>
        <v>0.8511375</v>
      </c>
      <c r="BM53" s="38">
        <f t="shared" si="38"/>
        <v>0.167</v>
      </c>
      <c r="BN53" s="39">
        <f t="shared" si="39"/>
        <v>1</v>
      </c>
      <c r="BO53" s="38">
        <f t="shared" si="40"/>
        <v>0.5835</v>
      </c>
      <c r="BP53" s="38">
        <f t="shared" si="41"/>
        <v>0.179</v>
      </c>
      <c r="BQ53" s="38">
        <f t="shared" si="42"/>
        <v>0.5475</v>
      </c>
      <c r="BR53" s="40" t="str">
        <f t="shared" si="43"/>
        <v>High</v>
      </c>
      <c r="BS53" s="38">
        <f t="shared" si="44"/>
        <v>0.350106875</v>
      </c>
      <c r="BT53" s="40" t="str">
        <f t="shared" si="45"/>
        <v>N</v>
      </c>
      <c r="BU53" s="40" t="str">
        <f t="shared" si="46"/>
        <v>Y</v>
      </c>
      <c r="BV53" s="40" t="str">
        <f t="shared" si="47"/>
        <v>Y</v>
      </c>
      <c r="BW53" s="40" t="str">
        <f t="shared" si="48"/>
        <v>Y</v>
      </c>
      <c r="BX53" s="40" t="str">
        <f t="shared" si="49"/>
        <v>N</v>
      </c>
      <c r="BY53" s="39" t="str">
        <f t="shared" si="50"/>
        <v/>
      </c>
      <c r="BZ53" s="41" t="str">
        <f t="shared" si="51"/>
        <v/>
      </c>
      <c r="CA53" s="12">
        <f t="shared" ref="CA53:CG53" si="357">IF(ISNUMBER(F53),F53,IFERROR(VALUE(SUBSTITUTE(SUBSTITUTE(SUBSTITUTE(SUBSTITUTE(F53,"(","-"),")",""),",","")," ","")),"" ))</f>
        <v>811.8</v>
      </c>
      <c r="CB53" s="12">
        <f t="shared" si="357"/>
        <v>1836.41</v>
      </c>
      <c r="CC53" s="12">
        <f t="shared" si="357"/>
        <v>18.67</v>
      </c>
      <c r="CD53" s="12">
        <f t="shared" si="357"/>
        <v>27.29</v>
      </c>
      <c r="CE53" s="12">
        <f t="shared" si="357"/>
        <v>2.34</v>
      </c>
      <c r="CF53" s="12">
        <f t="shared" si="357"/>
        <v>3.26</v>
      </c>
      <c r="CG53" s="12">
        <f t="shared" si="357"/>
        <v>12.59</v>
      </c>
      <c r="CH53" s="12">
        <f t="shared" si="53"/>
        <v>56.94</v>
      </c>
      <c r="CI53" s="12">
        <f t="shared" ref="CI53:CK53" si="358">IF(ISNUMBER(M53),M53,IFERROR(VALUE(SUBSTITUTE(SUBSTITUTE(SUBSTITUTE(SUBSTITUTE(SUBSTITUTE(M53,"(","-"),")",""),"%",""),",","")," ","")),"" ))</f>
        <v>15.43</v>
      </c>
      <c r="CJ53" s="12">
        <f t="shared" si="358"/>
        <v>12.33</v>
      </c>
      <c r="CK53" s="12">
        <f t="shared" si="358"/>
        <v>9.27</v>
      </c>
      <c r="CL53" s="12">
        <f t="shared" si="55"/>
        <v>6</v>
      </c>
      <c r="CM53" s="12">
        <f t="shared" si="56"/>
        <v>6.89</v>
      </c>
      <c r="CN53" s="12">
        <f t="shared" ref="CN53:CO53" si="359">IF(ISNUMBER(R53),R53,IFERROR(VALUE(SUBSTITUTE(SUBSTITUTE(SUBSTITUTE(SUBSTITUTE(R53,"(","-"),")",""),",","")," ","")),"" ))</f>
        <v>8</v>
      </c>
      <c r="CO53" s="12">
        <f t="shared" si="359"/>
        <v>0</v>
      </c>
      <c r="CP53" s="12">
        <f t="shared" ref="CP53:CR53" si="360">IF(ISNUMBER(AC53),AC53,IFERROR(VALUE(SUBSTITUTE(SUBSTITUTE(SUBSTITUTE(SUBSTITUTE(AC53,"(","-"),")",""),",","")," ","")),"" ))</f>
        <v>393.91</v>
      </c>
      <c r="CQ53" s="12">
        <f t="shared" si="360"/>
        <v>2.03</v>
      </c>
      <c r="CR53" s="12">
        <f t="shared" si="360"/>
        <v>5.65</v>
      </c>
      <c r="CS53" s="12">
        <f t="shared" ref="CS53:CT53" si="361">IF(ISNUMBER(AF53),AF53,IFERROR(VALUE(SUBSTITUTE(SUBSTITUTE(SUBSTITUTE(SUBSTITUTE(SUBSTITUTE(AF53,"(","-"),")",""),"%",""),",","")," ","")),"" ))</f>
        <v>70.37</v>
      </c>
      <c r="CT53" s="12">
        <f t="shared" si="361"/>
        <v>0</v>
      </c>
      <c r="CU53" s="12">
        <f t="shared" si="60"/>
        <v>44266</v>
      </c>
      <c r="CV53" s="12">
        <f t="shared" si="61"/>
        <v>-5.56</v>
      </c>
      <c r="CW53" s="12">
        <f t="shared" ref="CW53:DA53" si="362">IF(ISNUMBER(W53),W53,IFERROR(VALUE(SUBSTITUTE(SUBSTITUTE(SUBSTITUTE(SUBSTITUTE(W53,"(","-"),")",""),",","")," ","")),"" ))</f>
        <v>809.14</v>
      </c>
      <c r="CX53" s="12">
        <f t="shared" si="362"/>
        <v>806.79</v>
      </c>
      <c r="CY53" s="12">
        <f t="shared" si="362"/>
        <v>214.41</v>
      </c>
      <c r="CZ53" s="12">
        <f t="shared" si="362"/>
        <v>101.5</v>
      </c>
      <c r="DA53" s="12">
        <f t="shared" si="362"/>
        <v>96.66</v>
      </c>
    </row>
    <row r="54" ht="15.75" customHeight="1">
      <c r="A54" s="25">
        <v>53.0</v>
      </c>
      <c r="B54" s="26" t="s">
        <v>201</v>
      </c>
      <c r="C54" s="9" t="s">
        <v>50</v>
      </c>
      <c r="D54" s="10" t="s">
        <v>202</v>
      </c>
      <c r="E54" s="27" t="s">
        <v>203</v>
      </c>
      <c r="F54" s="28">
        <v>248.4</v>
      </c>
      <c r="G54" s="28">
        <v>1327.7</v>
      </c>
      <c r="H54" s="28">
        <v>26.59</v>
      </c>
      <c r="I54" s="28">
        <v>26.59</v>
      </c>
      <c r="J54" s="28">
        <v>5.3</v>
      </c>
      <c r="K54" s="28">
        <v>4.23</v>
      </c>
      <c r="L54" s="28">
        <v>12.19</v>
      </c>
      <c r="M54" s="28">
        <v>15.41</v>
      </c>
      <c r="N54" s="28">
        <v>16.66</v>
      </c>
      <c r="O54" s="28">
        <v>6.59</v>
      </c>
      <c r="P54" s="28">
        <v>5.0</v>
      </c>
      <c r="Q54" s="28">
        <v>5.47</v>
      </c>
      <c r="R54" s="28">
        <v>6.0</v>
      </c>
      <c r="S54" s="28">
        <v>0.83</v>
      </c>
      <c r="T54" s="28">
        <v>127522.0</v>
      </c>
      <c r="U54" s="28">
        <v>145152.0</v>
      </c>
      <c r="V54" s="28">
        <v>-7.16</v>
      </c>
      <c r="W54" s="28">
        <v>228.39</v>
      </c>
      <c r="X54" s="28">
        <v>236.8</v>
      </c>
      <c r="Y54" s="42"/>
      <c r="Z54" s="42"/>
      <c r="AA54" s="28">
        <v>-88.9</v>
      </c>
      <c r="AB54" s="28">
        <v>-44.76</v>
      </c>
      <c r="AC54" s="28">
        <v>6.72</v>
      </c>
      <c r="AD54" s="28">
        <v>1.11</v>
      </c>
      <c r="AE54" s="28">
        <v>4.98</v>
      </c>
      <c r="AF54" s="28">
        <v>67.74</v>
      </c>
      <c r="AG54" s="28">
        <v>0.0</v>
      </c>
      <c r="AH54" s="29">
        <f t="shared" si="7"/>
        <v>1</v>
      </c>
      <c r="AI54" s="29">
        <f t="shared" si="8"/>
        <v>1.252955083</v>
      </c>
      <c r="AJ54" s="29">
        <f t="shared" si="9"/>
        <v>1.048986486</v>
      </c>
      <c r="AK54" s="29">
        <f t="shared" si="10"/>
        <v>0</v>
      </c>
      <c r="AL54" s="29">
        <f t="shared" si="11"/>
        <v>0</v>
      </c>
      <c r="AM54" s="29">
        <f t="shared" si="12"/>
        <v>-0.06695789712</v>
      </c>
      <c r="AN54" s="29">
        <f t="shared" si="13"/>
        <v>0.269</v>
      </c>
      <c r="AO54" s="29">
        <f t="shared" si="14"/>
        <v>0.192</v>
      </c>
      <c r="AP54" s="29">
        <f t="shared" si="15"/>
        <v>0.487</v>
      </c>
      <c r="AQ54" s="29">
        <f t="shared" si="16"/>
        <v>0.308</v>
      </c>
      <c r="AR54" s="29" t="str">
        <f t="shared" si="17"/>
        <v/>
      </c>
      <c r="AS54" s="29">
        <f t="shared" si="18"/>
        <v>0.346</v>
      </c>
      <c r="AT54" s="29">
        <f t="shared" si="19"/>
        <v>0.5</v>
      </c>
      <c r="AU54" s="29">
        <f t="shared" si="20"/>
        <v>0.3407647059</v>
      </c>
      <c r="AV54" s="29">
        <f t="shared" si="21"/>
        <v>0.333</v>
      </c>
      <c r="AW54" s="29">
        <f t="shared" si="22"/>
        <v>0.513</v>
      </c>
      <c r="AX54" s="29">
        <f t="shared" si="23"/>
        <v>0.256</v>
      </c>
      <c r="AY54" s="29">
        <f t="shared" si="24"/>
        <v>0</v>
      </c>
      <c r="AZ54" s="29">
        <f t="shared" si="25"/>
        <v>0.577</v>
      </c>
      <c r="BA54" s="29">
        <f t="shared" si="26"/>
        <v>0.32685</v>
      </c>
      <c r="BB54" s="29">
        <f t="shared" si="27"/>
        <v>0.141</v>
      </c>
      <c r="BC54" s="29">
        <f t="shared" si="28"/>
        <v>0.372</v>
      </c>
      <c r="BD54" s="29">
        <f t="shared" si="29"/>
        <v>0.397</v>
      </c>
      <c r="BE54" s="29">
        <f t="shared" si="30"/>
        <v>0.321</v>
      </c>
      <c r="BF54" s="29">
        <f t="shared" si="31"/>
        <v>1</v>
      </c>
      <c r="BG54" s="29">
        <f t="shared" si="32"/>
        <v>0.59</v>
      </c>
      <c r="BH54" s="29">
        <f t="shared" si="33"/>
        <v>0.37705</v>
      </c>
      <c r="BI54" s="29">
        <f t="shared" si="34"/>
        <v>0.654</v>
      </c>
      <c r="BJ54" s="29">
        <f t="shared" si="35"/>
        <v>0.5</v>
      </c>
      <c r="BK54" s="29">
        <f t="shared" si="36"/>
        <v>0.462</v>
      </c>
      <c r="BL54" s="29">
        <f t="shared" si="37"/>
        <v>0.7007625</v>
      </c>
      <c r="BM54" s="29">
        <f t="shared" si="38"/>
        <v>0.128</v>
      </c>
      <c r="BN54" s="30">
        <f t="shared" si="39"/>
        <v>1</v>
      </c>
      <c r="BO54" s="29">
        <f t="shared" si="40"/>
        <v>0.564</v>
      </c>
      <c r="BP54" s="29">
        <f t="shared" si="41"/>
        <v>0.308</v>
      </c>
      <c r="BQ54" s="29">
        <f t="shared" si="42"/>
        <v>0.6449</v>
      </c>
      <c r="BR54" s="31" t="str">
        <f t="shared" si="43"/>
        <v>High</v>
      </c>
      <c r="BS54" s="29" t="str">
        <f t="shared" si="44"/>
        <v/>
      </c>
      <c r="BT54" s="31" t="str">
        <f t="shared" si="45"/>
        <v>Y</v>
      </c>
      <c r="BU54" s="31" t="str">
        <f t="shared" si="46"/>
        <v>Y</v>
      </c>
      <c r="BV54" s="31" t="str">
        <f t="shared" si="47"/>
        <v>Y</v>
      </c>
      <c r="BW54" s="31" t="str">
        <f t="shared" si="48"/>
        <v>Y</v>
      </c>
      <c r="BX54" s="31" t="str">
        <f t="shared" si="49"/>
        <v>Y</v>
      </c>
      <c r="BY54" s="30">
        <f t="shared" si="50"/>
        <v>1</v>
      </c>
      <c r="BZ54" s="32">
        <f t="shared" si="51"/>
        <v>0.04</v>
      </c>
      <c r="CA54" s="9">
        <f t="shared" ref="CA54:CG54" si="363">IF(ISNUMBER(F54),F54,IFERROR(VALUE(SUBSTITUTE(SUBSTITUTE(SUBSTITUTE(SUBSTITUTE(F54,"(","-"),")",""),",","")," ","")),"" ))</f>
        <v>248.4</v>
      </c>
      <c r="CB54" s="9">
        <f t="shared" si="363"/>
        <v>1327.7</v>
      </c>
      <c r="CC54" s="9">
        <f t="shared" si="363"/>
        <v>26.59</v>
      </c>
      <c r="CD54" s="9">
        <f t="shared" si="363"/>
        <v>26.59</v>
      </c>
      <c r="CE54" s="9">
        <f t="shared" si="363"/>
        <v>5.3</v>
      </c>
      <c r="CF54" s="9">
        <f t="shared" si="363"/>
        <v>4.23</v>
      </c>
      <c r="CG54" s="9">
        <f t="shared" si="363"/>
        <v>12.19</v>
      </c>
      <c r="CH54" s="9">
        <f t="shared" si="53"/>
        <v>-44.76</v>
      </c>
      <c r="CI54" s="9">
        <f t="shared" ref="CI54:CK54" si="364">IF(ISNUMBER(M54),M54,IFERROR(VALUE(SUBSTITUTE(SUBSTITUTE(SUBSTITUTE(SUBSTITUTE(SUBSTITUTE(M54,"(","-"),")",""),"%",""),",","")," ","")),"" ))</f>
        <v>15.41</v>
      </c>
      <c r="CJ54" s="9">
        <f t="shared" si="364"/>
        <v>16.66</v>
      </c>
      <c r="CK54" s="9">
        <f t="shared" si="364"/>
        <v>6.59</v>
      </c>
      <c r="CL54" s="9">
        <f t="shared" si="55"/>
        <v>5</v>
      </c>
      <c r="CM54" s="9">
        <f t="shared" si="56"/>
        <v>5.47</v>
      </c>
      <c r="CN54" s="9">
        <f t="shared" ref="CN54:CO54" si="365">IF(ISNUMBER(R54),R54,IFERROR(VALUE(SUBSTITUTE(SUBSTITUTE(SUBSTITUTE(SUBSTITUTE(R54,"(","-"),")",""),",","")," ","")),"" ))</f>
        <v>6</v>
      </c>
      <c r="CO54" s="9">
        <f t="shared" si="365"/>
        <v>0.83</v>
      </c>
      <c r="CP54" s="9">
        <f t="shared" ref="CP54:CR54" si="366">IF(ISNUMBER(AC54),AC54,IFERROR(VALUE(SUBSTITUTE(SUBSTITUTE(SUBSTITUTE(SUBSTITUTE(AC54,"(","-"),")",""),",","")," ","")),"" ))</f>
        <v>6.72</v>
      </c>
      <c r="CQ54" s="9">
        <f t="shared" si="366"/>
        <v>1.11</v>
      </c>
      <c r="CR54" s="9">
        <f t="shared" si="366"/>
        <v>4.98</v>
      </c>
      <c r="CS54" s="9">
        <f t="shared" ref="CS54:CT54" si="367">IF(ISNUMBER(AF54),AF54,IFERROR(VALUE(SUBSTITUTE(SUBSTITUTE(SUBSTITUTE(SUBSTITUTE(SUBSTITUTE(AF54,"(","-"),")",""),"%",""),",","")," ","")),"" ))</f>
        <v>67.74</v>
      </c>
      <c r="CT54" s="9">
        <f t="shared" si="367"/>
        <v>0</v>
      </c>
      <c r="CU54" s="9">
        <f t="shared" si="60"/>
        <v>145152</v>
      </c>
      <c r="CV54" s="9">
        <f t="shared" si="61"/>
        <v>-7.16</v>
      </c>
      <c r="CW54" s="9">
        <f t="shared" ref="CW54:DA54" si="368">IF(ISNUMBER(W54),W54,IFERROR(VALUE(SUBSTITUTE(SUBSTITUTE(SUBSTITUTE(SUBSTITUTE(W54,"(","-"),")",""),",","")," ","")),"" ))</f>
        <v>228.39</v>
      </c>
      <c r="CX54" s="9">
        <f t="shared" si="368"/>
        <v>236.8</v>
      </c>
      <c r="CY54" s="9">
        <f t="shared" si="368"/>
        <v>0</v>
      </c>
      <c r="CZ54" s="9">
        <f t="shared" si="368"/>
        <v>0</v>
      </c>
      <c r="DA54" s="9">
        <f t="shared" si="368"/>
        <v>-88.9</v>
      </c>
    </row>
    <row r="55" ht="15.75" customHeight="1">
      <c r="A55" s="33">
        <v>54.0</v>
      </c>
      <c r="B55" s="34" t="s">
        <v>32</v>
      </c>
      <c r="C55" s="12" t="s">
        <v>33</v>
      </c>
      <c r="D55" s="13" t="s">
        <v>177</v>
      </c>
      <c r="E55" s="35" t="s">
        <v>178</v>
      </c>
      <c r="F55" s="36">
        <v>574.4</v>
      </c>
      <c r="G55" s="36">
        <v>13938.89</v>
      </c>
      <c r="H55" s="36">
        <v>25.65</v>
      </c>
      <c r="I55" s="36">
        <v>27.72</v>
      </c>
      <c r="J55" s="36">
        <v>3.5</v>
      </c>
      <c r="K55" s="36">
        <v>3.06</v>
      </c>
      <c r="L55" s="36">
        <v>13.77</v>
      </c>
      <c r="M55" s="36">
        <v>15.14</v>
      </c>
      <c r="N55" s="36">
        <v>13.86</v>
      </c>
      <c r="O55" s="36">
        <v>8.21</v>
      </c>
      <c r="P55" s="36">
        <v>4.0</v>
      </c>
      <c r="Q55" s="36">
        <v>5.43</v>
      </c>
      <c r="R55" s="36">
        <v>7.0</v>
      </c>
      <c r="S55" s="36">
        <v>0.45</v>
      </c>
      <c r="T55" s="36">
        <v>480466.0</v>
      </c>
      <c r="U55" s="36">
        <v>1238288.0</v>
      </c>
      <c r="V55" s="36">
        <v>12.0</v>
      </c>
      <c r="W55" s="36">
        <v>578.17</v>
      </c>
      <c r="X55" s="36">
        <v>550.27</v>
      </c>
      <c r="Y55" s="36">
        <v>2809.26</v>
      </c>
      <c r="Z55" s="36">
        <v>782.23</v>
      </c>
      <c r="AA55" s="36">
        <v>685.44</v>
      </c>
      <c r="AB55" s="36">
        <v>61.01</v>
      </c>
      <c r="AC55" s="36">
        <v>7.77</v>
      </c>
      <c r="AD55" s="36">
        <v>0.66</v>
      </c>
      <c r="AE55" s="36">
        <v>5.25</v>
      </c>
      <c r="AF55" s="36">
        <v>38.02</v>
      </c>
      <c r="AG55" s="36">
        <v>0.0</v>
      </c>
      <c r="AH55" s="38">
        <f t="shared" si="7"/>
        <v>0.9253246753</v>
      </c>
      <c r="AI55" s="38">
        <f t="shared" si="8"/>
        <v>1.14379085</v>
      </c>
      <c r="AJ55" s="38">
        <f t="shared" si="9"/>
        <v>1.0438512</v>
      </c>
      <c r="AK55" s="38">
        <f t="shared" si="10"/>
        <v>0.2015411557</v>
      </c>
      <c r="AL55" s="38">
        <f t="shared" si="11"/>
        <v>0.05611852881</v>
      </c>
      <c r="AM55" s="38">
        <f t="shared" si="12"/>
        <v>0.04917464734</v>
      </c>
      <c r="AN55" s="38">
        <f t="shared" si="13"/>
        <v>0.295</v>
      </c>
      <c r="AO55" s="38">
        <f t="shared" si="14"/>
        <v>0.5</v>
      </c>
      <c r="AP55" s="38">
        <f t="shared" si="15"/>
        <v>0.321</v>
      </c>
      <c r="AQ55" s="38">
        <f t="shared" si="16"/>
        <v>0.282</v>
      </c>
      <c r="AR55" s="38">
        <f t="shared" si="17"/>
        <v>0.256</v>
      </c>
      <c r="AS55" s="38">
        <f t="shared" si="18"/>
        <v>0.423</v>
      </c>
      <c r="AT55" s="38">
        <f t="shared" si="19"/>
        <v>0.59</v>
      </c>
      <c r="AU55" s="38">
        <f t="shared" si="20"/>
        <v>0.354875</v>
      </c>
      <c r="AV55" s="38">
        <f t="shared" si="21"/>
        <v>0.321</v>
      </c>
      <c r="AW55" s="38">
        <f t="shared" si="22"/>
        <v>0.269</v>
      </c>
      <c r="AX55" s="38">
        <f t="shared" si="23"/>
        <v>0.372</v>
      </c>
      <c r="AY55" s="38">
        <f t="shared" si="24"/>
        <v>0.256</v>
      </c>
      <c r="AZ55" s="38">
        <f t="shared" si="25"/>
        <v>0.308</v>
      </c>
      <c r="BA55" s="38">
        <f t="shared" si="26"/>
        <v>0.29685</v>
      </c>
      <c r="BB55" s="38">
        <f t="shared" si="27"/>
        <v>0.346</v>
      </c>
      <c r="BC55" s="38">
        <f t="shared" si="28"/>
        <v>0.41</v>
      </c>
      <c r="BD55" s="38">
        <f t="shared" si="29"/>
        <v>0.115</v>
      </c>
      <c r="BE55" s="38">
        <f t="shared" si="30"/>
        <v>0.385</v>
      </c>
      <c r="BF55" s="38">
        <f t="shared" si="31"/>
        <v>1</v>
      </c>
      <c r="BG55" s="38">
        <f t="shared" si="32"/>
        <v>0.051</v>
      </c>
      <c r="BH55" s="38">
        <f t="shared" si="33"/>
        <v>0.37815</v>
      </c>
      <c r="BI55" s="38">
        <f t="shared" si="34"/>
        <v>0.577</v>
      </c>
      <c r="BJ55" s="38">
        <f t="shared" si="35"/>
        <v>0.41</v>
      </c>
      <c r="BK55" s="38">
        <f t="shared" si="36"/>
        <v>0.449</v>
      </c>
      <c r="BL55" s="38">
        <f t="shared" si="37"/>
        <v>0.5123875</v>
      </c>
      <c r="BM55" s="38">
        <f t="shared" si="38"/>
        <v>0.577</v>
      </c>
      <c r="BN55" s="39">
        <f t="shared" si="39"/>
        <v>1</v>
      </c>
      <c r="BO55" s="38">
        <f t="shared" si="40"/>
        <v>0.7885</v>
      </c>
      <c r="BP55" s="38">
        <f t="shared" si="41"/>
        <v>0.782</v>
      </c>
      <c r="BQ55" s="38">
        <f t="shared" si="42"/>
        <v>0.5831</v>
      </c>
      <c r="BR55" s="40" t="str">
        <f t="shared" si="43"/>
        <v>High</v>
      </c>
      <c r="BS55" s="38">
        <f t="shared" si="44"/>
        <v>0.305719375</v>
      </c>
      <c r="BT55" s="40" t="str">
        <f t="shared" si="45"/>
        <v>Y</v>
      </c>
      <c r="BU55" s="40" t="str">
        <f t="shared" si="46"/>
        <v>Y</v>
      </c>
      <c r="BV55" s="40" t="str">
        <f t="shared" si="47"/>
        <v>Y</v>
      </c>
      <c r="BW55" s="40" t="str">
        <f t="shared" si="48"/>
        <v>Y</v>
      </c>
      <c r="BX55" s="40" t="str">
        <f t="shared" si="49"/>
        <v>Y</v>
      </c>
      <c r="BY55" s="39">
        <f t="shared" si="50"/>
        <v>35</v>
      </c>
      <c r="BZ55" s="41" t="str">
        <f t="shared" si="51"/>
        <v/>
      </c>
      <c r="CA55" s="12">
        <f t="shared" ref="CA55:CG55" si="369">IF(ISNUMBER(F55),F55,IFERROR(VALUE(SUBSTITUTE(SUBSTITUTE(SUBSTITUTE(SUBSTITUTE(F55,"(","-"),")",""),",","")," ","")),"" ))</f>
        <v>574.4</v>
      </c>
      <c r="CB55" s="12">
        <f t="shared" si="369"/>
        <v>13938.89</v>
      </c>
      <c r="CC55" s="12">
        <f t="shared" si="369"/>
        <v>25.65</v>
      </c>
      <c r="CD55" s="12">
        <f t="shared" si="369"/>
        <v>27.72</v>
      </c>
      <c r="CE55" s="12">
        <f t="shared" si="369"/>
        <v>3.5</v>
      </c>
      <c r="CF55" s="12">
        <f t="shared" si="369"/>
        <v>3.06</v>
      </c>
      <c r="CG55" s="12">
        <f t="shared" si="369"/>
        <v>13.77</v>
      </c>
      <c r="CH55" s="12">
        <f t="shared" si="53"/>
        <v>61.01</v>
      </c>
      <c r="CI55" s="12">
        <f t="shared" ref="CI55:CK55" si="370">IF(ISNUMBER(M55),M55,IFERROR(VALUE(SUBSTITUTE(SUBSTITUTE(SUBSTITUTE(SUBSTITUTE(SUBSTITUTE(M55,"(","-"),")",""),"%",""),",","")," ","")),"" ))</f>
        <v>15.14</v>
      </c>
      <c r="CJ55" s="12">
        <f t="shared" si="370"/>
        <v>13.86</v>
      </c>
      <c r="CK55" s="12">
        <f t="shared" si="370"/>
        <v>8.21</v>
      </c>
      <c r="CL55" s="12">
        <f t="shared" si="55"/>
        <v>4</v>
      </c>
      <c r="CM55" s="12">
        <f t="shared" si="56"/>
        <v>5.43</v>
      </c>
      <c r="CN55" s="12">
        <f t="shared" ref="CN55:CO55" si="371">IF(ISNUMBER(R55),R55,IFERROR(VALUE(SUBSTITUTE(SUBSTITUTE(SUBSTITUTE(SUBSTITUTE(R55,"(","-"),")",""),",","")," ","")),"" ))</f>
        <v>7</v>
      </c>
      <c r="CO55" s="12">
        <f t="shared" si="371"/>
        <v>0.45</v>
      </c>
      <c r="CP55" s="12">
        <f t="shared" ref="CP55:CR55" si="372">IF(ISNUMBER(AC55),AC55,IFERROR(VALUE(SUBSTITUTE(SUBSTITUTE(SUBSTITUTE(SUBSTITUTE(AC55,"(","-"),")",""),",","")," ","")),"" ))</f>
        <v>7.77</v>
      </c>
      <c r="CQ55" s="12">
        <f t="shared" si="372"/>
        <v>0.66</v>
      </c>
      <c r="CR55" s="12">
        <f t="shared" si="372"/>
        <v>5.25</v>
      </c>
      <c r="CS55" s="12">
        <f t="shared" ref="CS55:CT55" si="373">IF(ISNUMBER(AF55),AF55,IFERROR(VALUE(SUBSTITUTE(SUBSTITUTE(SUBSTITUTE(SUBSTITUTE(SUBSTITUTE(AF55,"(","-"),")",""),"%",""),",","")," ","")),"" ))</f>
        <v>38.02</v>
      </c>
      <c r="CT55" s="12">
        <f t="shared" si="373"/>
        <v>0</v>
      </c>
      <c r="CU55" s="12">
        <f t="shared" si="60"/>
        <v>1238288</v>
      </c>
      <c r="CV55" s="12">
        <f t="shared" si="61"/>
        <v>12</v>
      </c>
      <c r="CW55" s="12">
        <f t="shared" ref="CW55:DA55" si="374">IF(ISNUMBER(W55),W55,IFERROR(VALUE(SUBSTITUTE(SUBSTITUTE(SUBSTITUTE(SUBSTITUTE(W55,"(","-"),")",""),",","")," ","")),"" ))</f>
        <v>578.17</v>
      </c>
      <c r="CX55" s="12">
        <f t="shared" si="374"/>
        <v>550.27</v>
      </c>
      <c r="CY55" s="12">
        <f t="shared" si="374"/>
        <v>2809.26</v>
      </c>
      <c r="CZ55" s="12">
        <f t="shared" si="374"/>
        <v>782.23</v>
      </c>
      <c r="DA55" s="12">
        <f t="shared" si="374"/>
        <v>685.44</v>
      </c>
    </row>
    <row r="56" ht="15.75" customHeight="1">
      <c r="A56" s="25">
        <v>55.0</v>
      </c>
      <c r="B56" s="26" t="s">
        <v>195</v>
      </c>
      <c r="C56" s="9" t="s">
        <v>67</v>
      </c>
      <c r="D56" s="10" t="s">
        <v>196</v>
      </c>
      <c r="E56" s="27" t="s">
        <v>197</v>
      </c>
      <c r="F56" s="28">
        <v>229.98</v>
      </c>
      <c r="G56" s="28">
        <v>3640.73</v>
      </c>
      <c r="H56" s="28">
        <v>36.62</v>
      </c>
      <c r="I56" s="28">
        <v>44.24</v>
      </c>
      <c r="J56" s="28">
        <v>4.1</v>
      </c>
      <c r="K56" s="28">
        <v>5.61</v>
      </c>
      <c r="L56" s="28">
        <v>17.42</v>
      </c>
      <c r="M56" s="28">
        <v>14.88</v>
      </c>
      <c r="N56" s="28">
        <v>12.92</v>
      </c>
      <c r="O56" s="28">
        <v>7.29</v>
      </c>
      <c r="P56" s="28">
        <v>5.0</v>
      </c>
      <c r="Q56" s="28">
        <v>4.47</v>
      </c>
      <c r="R56" s="28">
        <v>8.0</v>
      </c>
      <c r="S56" s="28">
        <v>0.31</v>
      </c>
      <c r="T56" s="28">
        <v>180107.0</v>
      </c>
      <c r="U56" s="28">
        <v>175574.0</v>
      </c>
      <c r="V56" s="28">
        <v>1.27</v>
      </c>
      <c r="W56" s="28">
        <v>244.19</v>
      </c>
      <c r="X56" s="28">
        <v>251.99</v>
      </c>
      <c r="Y56" s="28">
        <v>463.73</v>
      </c>
      <c r="Z56" s="28">
        <v>33.75</v>
      </c>
      <c r="AA56" s="28">
        <v>77.35</v>
      </c>
      <c r="AB56" s="28">
        <v>141.2</v>
      </c>
      <c r="AC56" s="28">
        <v>5.67</v>
      </c>
      <c r="AD56" s="28">
        <v>2.09</v>
      </c>
      <c r="AE56" s="28">
        <v>6.32</v>
      </c>
      <c r="AF56" s="28">
        <v>58.39</v>
      </c>
      <c r="AG56" s="28">
        <v>0.0</v>
      </c>
      <c r="AH56" s="29">
        <f t="shared" si="7"/>
        <v>0.8277576854</v>
      </c>
      <c r="AI56" s="29">
        <f t="shared" si="8"/>
        <v>0.7308377897</v>
      </c>
      <c r="AJ56" s="29">
        <f t="shared" si="9"/>
        <v>0.9126552641</v>
      </c>
      <c r="AK56" s="29">
        <f t="shared" si="10"/>
        <v>0.1273728071</v>
      </c>
      <c r="AL56" s="29">
        <f t="shared" si="11"/>
        <v>0.009270118905</v>
      </c>
      <c r="AM56" s="29">
        <f t="shared" si="12"/>
        <v>0.02124573918</v>
      </c>
      <c r="AN56" s="29">
        <f t="shared" si="13"/>
        <v>0.051</v>
      </c>
      <c r="AO56" s="29">
        <f t="shared" si="14"/>
        <v>0.372</v>
      </c>
      <c r="AP56" s="29">
        <f t="shared" si="15"/>
        <v>0.141</v>
      </c>
      <c r="AQ56" s="29">
        <f t="shared" si="16"/>
        <v>0.103</v>
      </c>
      <c r="AR56" s="29">
        <f t="shared" si="17"/>
        <v>0.09</v>
      </c>
      <c r="AS56" s="29">
        <f t="shared" si="18"/>
        <v>0.564</v>
      </c>
      <c r="AT56" s="29">
        <f t="shared" si="19"/>
        <v>0.897</v>
      </c>
      <c r="AU56" s="29">
        <f t="shared" si="20"/>
        <v>0.232725</v>
      </c>
      <c r="AV56" s="29">
        <f t="shared" si="21"/>
        <v>0.308</v>
      </c>
      <c r="AW56" s="29">
        <f t="shared" si="22"/>
        <v>0.218</v>
      </c>
      <c r="AX56" s="29">
        <f t="shared" si="23"/>
        <v>0.295</v>
      </c>
      <c r="AY56" s="29">
        <f t="shared" si="24"/>
        <v>0.551</v>
      </c>
      <c r="AZ56" s="29">
        <f t="shared" si="25"/>
        <v>0.577</v>
      </c>
      <c r="BA56" s="29">
        <f t="shared" si="26"/>
        <v>0.40325</v>
      </c>
      <c r="BB56" s="29">
        <f t="shared" si="27"/>
        <v>0.449</v>
      </c>
      <c r="BC56" s="29">
        <f t="shared" si="28"/>
        <v>0.333</v>
      </c>
      <c r="BD56" s="29">
        <f t="shared" si="29"/>
        <v>0.679</v>
      </c>
      <c r="BE56" s="29">
        <f t="shared" si="30"/>
        <v>0.564</v>
      </c>
      <c r="BF56" s="29">
        <f t="shared" si="31"/>
        <v>1</v>
      </c>
      <c r="BG56" s="29">
        <f t="shared" si="32"/>
        <v>0.359</v>
      </c>
      <c r="BH56" s="29">
        <f t="shared" si="33"/>
        <v>0.52945</v>
      </c>
      <c r="BI56" s="29">
        <f t="shared" si="34"/>
        <v>0.436</v>
      </c>
      <c r="BJ56" s="29">
        <f t="shared" si="35"/>
        <v>0.103</v>
      </c>
      <c r="BK56" s="29">
        <f t="shared" si="36"/>
        <v>0.026</v>
      </c>
      <c r="BL56" s="29">
        <f t="shared" si="37"/>
        <v>0.6580125</v>
      </c>
      <c r="BM56" s="29">
        <f t="shared" si="38"/>
        <v>0.333</v>
      </c>
      <c r="BN56" s="30">
        <f t="shared" si="39"/>
        <v>1</v>
      </c>
      <c r="BO56" s="29">
        <f t="shared" si="40"/>
        <v>0.6665</v>
      </c>
      <c r="BP56" s="29">
        <f t="shared" si="41"/>
        <v>0.359</v>
      </c>
      <c r="BQ56" s="29">
        <f t="shared" si="42"/>
        <v>0.5961</v>
      </c>
      <c r="BR56" s="31" t="str">
        <f t="shared" si="43"/>
        <v>High</v>
      </c>
      <c r="BS56" s="29">
        <f t="shared" si="44"/>
        <v>0.249050625</v>
      </c>
      <c r="BT56" s="31" t="str">
        <f t="shared" si="45"/>
        <v>Y</v>
      </c>
      <c r="BU56" s="31" t="str">
        <f t="shared" si="46"/>
        <v>Y</v>
      </c>
      <c r="BV56" s="31" t="str">
        <f t="shared" si="47"/>
        <v>Y</v>
      </c>
      <c r="BW56" s="31" t="str">
        <f t="shared" si="48"/>
        <v>Y</v>
      </c>
      <c r="BX56" s="31" t="str">
        <f t="shared" si="49"/>
        <v>Y</v>
      </c>
      <c r="BY56" s="30">
        <f t="shared" si="50"/>
        <v>45</v>
      </c>
      <c r="BZ56" s="32" t="str">
        <f t="shared" si="51"/>
        <v/>
      </c>
      <c r="CA56" s="9">
        <f t="shared" ref="CA56:CG56" si="375">IF(ISNUMBER(F56),F56,IFERROR(VALUE(SUBSTITUTE(SUBSTITUTE(SUBSTITUTE(SUBSTITUTE(F56,"(","-"),")",""),",","")," ","")),"" ))</f>
        <v>229.98</v>
      </c>
      <c r="CB56" s="9">
        <f t="shared" si="375"/>
        <v>3640.73</v>
      </c>
      <c r="CC56" s="9">
        <f t="shared" si="375"/>
        <v>36.62</v>
      </c>
      <c r="CD56" s="9">
        <f t="shared" si="375"/>
        <v>44.24</v>
      </c>
      <c r="CE56" s="9">
        <f t="shared" si="375"/>
        <v>4.1</v>
      </c>
      <c r="CF56" s="9">
        <f t="shared" si="375"/>
        <v>5.61</v>
      </c>
      <c r="CG56" s="9">
        <f t="shared" si="375"/>
        <v>17.42</v>
      </c>
      <c r="CH56" s="9">
        <f t="shared" si="53"/>
        <v>141.2</v>
      </c>
      <c r="CI56" s="9">
        <f t="shared" ref="CI56:CK56" si="376">IF(ISNUMBER(M56),M56,IFERROR(VALUE(SUBSTITUTE(SUBSTITUTE(SUBSTITUTE(SUBSTITUTE(SUBSTITUTE(M56,"(","-"),")",""),"%",""),",","")," ","")),"" ))</f>
        <v>14.88</v>
      </c>
      <c r="CJ56" s="9">
        <f t="shared" si="376"/>
        <v>12.92</v>
      </c>
      <c r="CK56" s="9">
        <f t="shared" si="376"/>
        <v>7.29</v>
      </c>
      <c r="CL56" s="9">
        <f t="shared" si="55"/>
        <v>5</v>
      </c>
      <c r="CM56" s="9">
        <f t="shared" si="56"/>
        <v>4.47</v>
      </c>
      <c r="CN56" s="9">
        <f t="shared" ref="CN56:CO56" si="377">IF(ISNUMBER(R56),R56,IFERROR(VALUE(SUBSTITUTE(SUBSTITUTE(SUBSTITUTE(SUBSTITUTE(R56,"(","-"),")",""),",","")," ","")),"" ))</f>
        <v>8</v>
      </c>
      <c r="CO56" s="9">
        <f t="shared" si="377"/>
        <v>0.31</v>
      </c>
      <c r="CP56" s="9">
        <f t="shared" ref="CP56:CR56" si="378">IF(ISNUMBER(AC56),AC56,IFERROR(VALUE(SUBSTITUTE(SUBSTITUTE(SUBSTITUTE(SUBSTITUTE(AC56,"(","-"),")",""),",","")," ","")),"" ))</f>
        <v>5.67</v>
      </c>
      <c r="CQ56" s="9">
        <f t="shared" si="378"/>
        <v>2.09</v>
      </c>
      <c r="CR56" s="9">
        <f t="shared" si="378"/>
        <v>6.32</v>
      </c>
      <c r="CS56" s="9">
        <f t="shared" ref="CS56:CT56" si="379">IF(ISNUMBER(AF56),AF56,IFERROR(VALUE(SUBSTITUTE(SUBSTITUTE(SUBSTITUTE(SUBSTITUTE(SUBSTITUTE(AF56,"(","-"),")",""),"%",""),",","")," ","")),"" ))</f>
        <v>58.39</v>
      </c>
      <c r="CT56" s="9">
        <f t="shared" si="379"/>
        <v>0</v>
      </c>
      <c r="CU56" s="9">
        <f t="shared" si="60"/>
        <v>175574</v>
      </c>
      <c r="CV56" s="9">
        <f t="shared" si="61"/>
        <v>1.27</v>
      </c>
      <c r="CW56" s="9">
        <f t="shared" ref="CW56:DA56" si="380">IF(ISNUMBER(W56),W56,IFERROR(VALUE(SUBSTITUTE(SUBSTITUTE(SUBSTITUTE(SUBSTITUTE(W56,"(","-"),")",""),",","")," ","")),"" ))</f>
        <v>244.19</v>
      </c>
      <c r="CX56" s="9">
        <f t="shared" si="380"/>
        <v>251.99</v>
      </c>
      <c r="CY56" s="9">
        <f t="shared" si="380"/>
        <v>463.73</v>
      </c>
      <c r="CZ56" s="9">
        <f t="shared" si="380"/>
        <v>33.75</v>
      </c>
      <c r="DA56" s="9">
        <f t="shared" si="380"/>
        <v>77.35</v>
      </c>
    </row>
    <row r="57" ht="15.75" customHeight="1">
      <c r="A57" s="33">
        <v>56.0</v>
      </c>
      <c r="B57" s="34" t="s">
        <v>79</v>
      </c>
      <c r="C57" s="12" t="s">
        <v>38</v>
      </c>
      <c r="D57" s="13" t="s">
        <v>80</v>
      </c>
      <c r="E57" s="35" t="s">
        <v>81</v>
      </c>
      <c r="F57" s="36">
        <v>940.0</v>
      </c>
      <c r="G57" s="36">
        <v>211239.29</v>
      </c>
      <c r="H57" s="36">
        <v>12.19</v>
      </c>
      <c r="I57" s="36">
        <v>17.36</v>
      </c>
      <c r="J57" s="36">
        <v>1.57</v>
      </c>
      <c r="K57" s="36">
        <v>1.92</v>
      </c>
      <c r="L57" s="36">
        <v>7.55</v>
      </c>
      <c r="M57" s="36">
        <v>14.8</v>
      </c>
      <c r="N57" s="36">
        <v>14.02</v>
      </c>
      <c r="O57" s="36">
        <v>6.51</v>
      </c>
      <c r="P57" s="36">
        <v>4.0</v>
      </c>
      <c r="Q57" s="36">
        <v>10.11</v>
      </c>
      <c r="R57" s="36">
        <v>8.0</v>
      </c>
      <c r="S57" s="36">
        <v>0.56</v>
      </c>
      <c r="T57" s="36">
        <v>5864729.0</v>
      </c>
      <c r="U57" s="36">
        <v>5684248.0</v>
      </c>
      <c r="V57" s="36">
        <v>27.19</v>
      </c>
      <c r="W57" s="36">
        <v>914.67</v>
      </c>
      <c r="X57" s="36">
        <v>808.36</v>
      </c>
      <c r="Y57" s="36">
        <v>101744.0</v>
      </c>
      <c r="Z57" s="36">
        <v>45153.0</v>
      </c>
      <c r="AA57" s="36">
        <v>21955.0</v>
      </c>
      <c r="AB57" s="36">
        <v>28.86</v>
      </c>
      <c r="AC57" s="36">
        <v>8.36</v>
      </c>
      <c r="AD57" s="36">
        <v>0.71</v>
      </c>
      <c r="AE57" s="36">
        <v>3.12</v>
      </c>
      <c r="AF57" s="36">
        <v>34.64</v>
      </c>
      <c r="AG57" s="36">
        <v>0.0</v>
      </c>
      <c r="AH57" s="38">
        <f t="shared" si="7"/>
        <v>0.7021889401</v>
      </c>
      <c r="AI57" s="38">
        <f t="shared" si="8"/>
        <v>0.8177083333</v>
      </c>
      <c r="AJ57" s="38">
        <f t="shared" si="9"/>
        <v>1.162848236</v>
      </c>
      <c r="AK57" s="38">
        <f t="shared" si="10"/>
        <v>0.4816528213</v>
      </c>
      <c r="AL57" s="38">
        <f t="shared" si="11"/>
        <v>0.2137528487</v>
      </c>
      <c r="AM57" s="38">
        <f t="shared" si="12"/>
        <v>0.1039342634</v>
      </c>
      <c r="AN57" s="38">
        <f t="shared" si="13"/>
        <v>0.897</v>
      </c>
      <c r="AO57" s="38">
        <f t="shared" si="14"/>
        <v>0.923</v>
      </c>
      <c r="AP57" s="38">
        <f t="shared" si="15"/>
        <v>0.885</v>
      </c>
      <c r="AQ57" s="38">
        <f t="shared" si="16"/>
        <v>0.872</v>
      </c>
      <c r="AR57" s="38">
        <f t="shared" si="17"/>
        <v>0.487</v>
      </c>
      <c r="AS57" s="38">
        <f t="shared" si="18"/>
        <v>0.692</v>
      </c>
      <c r="AT57" s="38">
        <f t="shared" si="19"/>
        <v>0.833</v>
      </c>
      <c r="AU57" s="38">
        <f t="shared" si="20"/>
        <v>0.813075</v>
      </c>
      <c r="AV57" s="38">
        <f t="shared" si="21"/>
        <v>0.295</v>
      </c>
      <c r="AW57" s="38">
        <f t="shared" si="22"/>
        <v>0.295</v>
      </c>
      <c r="AX57" s="38">
        <f t="shared" si="23"/>
        <v>0.231</v>
      </c>
      <c r="AY57" s="38">
        <f t="shared" si="24"/>
        <v>0.551</v>
      </c>
      <c r="AZ57" s="38">
        <f t="shared" si="25"/>
        <v>0.308</v>
      </c>
      <c r="BA57" s="38">
        <f t="shared" si="26"/>
        <v>0.3552</v>
      </c>
      <c r="BB57" s="38">
        <f t="shared" si="27"/>
        <v>0.256</v>
      </c>
      <c r="BC57" s="38">
        <f t="shared" si="28"/>
        <v>0.436</v>
      </c>
      <c r="BD57" s="38">
        <f t="shared" si="29"/>
        <v>0.192</v>
      </c>
      <c r="BE57" s="38">
        <f t="shared" si="30"/>
        <v>0.077</v>
      </c>
      <c r="BF57" s="38">
        <f t="shared" si="31"/>
        <v>1</v>
      </c>
      <c r="BG57" s="38">
        <f t="shared" si="32"/>
        <v>0.013</v>
      </c>
      <c r="BH57" s="38">
        <f t="shared" si="33"/>
        <v>0.28195</v>
      </c>
      <c r="BI57" s="38">
        <f t="shared" si="34"/>
        <v>0.308</v>
      </c>
      <c r="BJ57" s="38">
        <f t="shared" si="35"/>
        <v>0.167</v>
      </c>
      <c r="BK57" s="38">
        <f t="shared" si="36"/>
        <v>0.795</v>
      </c>
      <c r="BL57" s="38">
        <f t="shared" si="37"/>
        <v>0.4750375</v>
      </c>
      <c r="BM57" s="38">
        <f t="shared" si="38"/>
        <v>0.795</v>
      </c>
      <c r="BN57" s="39">
        <f t="shared" si="39"/>
        <v>1</v>
      </c>
      <c r="BO57" s="38">
        <f t="shared" si="40"/>
        <v>0.8975</v>
      </c>
      <c r="BP57" s="38">
        <f t="shared" si="41"/>
        <v>0.897</v>
      </c>
      <c r="BQ57" s="38">
        <f t="shared" si="42"/>
        <v>0.7998</v>
      </c>
      <c r="BR57" s="40" t="str">
        <f t="shared" si="43"/>
        <v>High</v>
      </c>
      <c r="BS57" s="38">
        <f t="shared" si="44"/>
        <v>0.272501875</v>
      </c>
      <c r="BT57" s="40" t="str">
        <f t="shared" si="45"/>
        <v>Y</v>
      </c>
      <c r="BU57" s="40" t="str">
        <f t="shared" si="46"/>
        <v>Y</v>
      </c>
      <c r="BV57" s="40" t="str">
        <f t="shared" si="47"/>
        <v>Y</v>
      </c>
      <c r="BW57" s="40" t="str">
        <f t="shared" si="48"/>
        <v>Y</v>
      </c>
      <c r="BX57" s="40" t="str">
        <f t="shared" si="49"/>
        <v>Y</v>
      </c>
      <c r="BY57" s="39">
        <f t="shared" si="50"/>
        <v>40</v>
      </c>
      <c r="BZ57" s="41" t="str">
        <f t="shared" si="51"/>
        <v/>
      </c>
      <c r="CA57" s="12">
        <f t="shared" ref="CA57:CG57" si="381">IF(ISNUMBER(F57),F57,IFERROR(VALUE(SUBSTITUTE(SUBSTITUTE(SUBSTITUTE(SUBSTITUTE(F57,"(","-"),")",""),",","")," ","")),"" ))</f>
        <v>940</v>
      </c>
      <c r="CB57" s="12">
        <f t="shared" si="381"/>
        <v>211239.29</v>
      </c>
      <c r="CC57" s="12">
        <f t="shared" si="381"/>
        <v>12.19</v>
      </c>
      <c r="CD57" s="12">
        <f t="shared" si="381"/>
        <v>17.36</v>
      </c>
      <c r="CE57" s="12">
        <f t="shared" si="381"/>
        <v>1.57</v>
      </c>
      <c r="CF57" s="12">
        <f t="shared" si="381"/>
        <v>1.92</v>
      </c>
      <c r="CG57" s="12">
        <f t="shared" si="381"/>
        <v>7.55</v>
      </c>
      <c r="CH57" s="12">
        <f t="shared" si="53"/>
        <v>28.86</v>
      </c>
      <c r="CI57" s="12">
        <f t="shared" ref="CI57:CK57" si="382">IF(ISNUMBER(M57),M57,IFERROR(VALUE(SUBSTITUTE(SUBSTITUTE(SUBSTITUTE(SUBSTITUTE(SUBSTITUTE(M57,"(","-"),")",""),"%",""),",","")," ","")),"" ))</f>
        <v>14.8</v>
      </c>
      <c r="CJ57" s="12">
        <f t="shared" si="382"/>
        <v>14.02</v>
      </c>
      <c r="CK57" s="12">
        <f t="shared" si="382"/>
        <v>6.51</v>
      </c>
      <c r="CL57" s="12">
        <f t="shared" si="55"/>
        <v>4</v>
      </c>
      <c r="CM57" s="12">
        <f t="shared" si="56"/>
        <v>10.11</v>
      </c>
      <c r="CN57" s="12">
        <f t="shared" ref="CN57:CO57" si="383">IF(ISNUMBER(R57),R57,IFERROR(VALUE(SUBSTITUTE(SUBSTITUTE(SUBSTITUTE(SUBSTITUTE(R57,"(","-"),")",""),",","")," ","")),"" ))</f>
        <v>8</v>
      </c>
      <c r="CO57" s="12">
        <f t="shared" si="383"/>
        <v>0.56</v>
      </c>
      <c r="CP57" s="12">
        <f t="shared" ref="CP57:CR57" si="384">IF(ISNUMBER(AC57),AC57,IFERROR(VALUE(SUBSTITUTE(SUBSTITUTE(SUBSTITUTE(SUBSTITUTE(AC57,"(","-"),")",""),",","")," ","")),"" ))</f>
        <v>8.36</v>
      </c>
      <c r="CQ57" s="12">
        <f t="shared" si="384"/>
        <v>0.71</v>
      </c>
      <c r="CR57" s="12">
        <f t="shared" si="384"/>
        <v>3.12</v>
      </c>
      <c r="CS57" s="12">
        <f t="shared" ref="CS57:CT57" si="385">IF(ISNUMBER(AF57),AF57,IFERROR(VALUE(SUBSTITUTE(SUBSTITUTE(SUBSTITUTE(SUBSTITUTE(SUBSTITUTE(AF57,"(","-"),")",""),"%",""),",","")," ","")),"" ))</f>
        <v>34.64</v>
      </c>
      <c r="CT57" s="12">
        <f t="shared" si="385"/>
        <v>0</v>
      </c>
      <c r="CU57" s="12">
        <f t="shared" si="60"/>
        <v>5684248</v>
      </c>
      <c r="CV57" s="12">
        <f t="shared" si="61"/>
        <v>27.19</v>
      </c>
      <c r="CW57" s="12">
        <f t="shared" ref="CW57:DA57" si="386">IF(ISNUMBER(W57),W57,IFERROR(VALUE(SUBSTITUTE(SUBSTITUTE(SUBSTITUTE(SUBSTITUTE(W57,"(","-"),")",""),",","")," ","")),"" ))</f>
        <v>914.67</v>
      </c>
      <c r="CX57" s="12">
        <f t="shared" si="386"/>
        <v>808.36</v>
      </c>
      <c r="CY57" s="12">
        <f t="shared" si="386"/>
        <v>101744</v>
      </c>
      <c r="CZ57" s="12">
        <f t="shared" si="386"/>
        <v>45153</v>
      </c>
      <c r="DA57" s="12">
        <f t="shared" si="386"/>
        <v>21955</v>
      </c>
    </row>
    <row r="58" ht="15.75" customHeight="1">
      <c r="A58" s="25">
        <v>57.0</v>
      </c>
      <c r="B58" s="26" t="s">
        <v>125</v>
      </c>
      <c r="C58" s="9" t="s">
        <v>50</v>
      </c>
      <c r="D58" s="10" t="s">
        <v>126</v>
      </c>
      <c r="E58" s="27" t="s">
        <v>127</v>
      </c>
      <c r="F58" s="28">
        <v>141.86</v>
      </c>
      <c r="G58" s="28">
        <v>3138.13</v>
      </c>
      <c r="H58" s="28">
        <v>17.93</v>
      </c>
      <c r="I58" s="28">
        <v>14.35</v>
      </c>
      <c r="J58" s="28">
        <v>1.62</v>
      </c>
      <c r="K58" s="28">
        <v>1.53</v>
      </c>
      <c r="L58" s="28">
        <v>9.06</v>
      </c>
      <c r="M58" s="28">
        <v>14.75</v>
      </c>
      <c r="N58" s="28">
        <v>12.58</v>
      </c>
      <c r="O58" s="28">
        <v>10.17</v>
      </c>
      <c r="P58" s="28">
        <v>3.0</v>
      </c>
      <c r="Q58" s="28">
        <v>8.46</v>
      </c>
      <c r="R58" s="28">
        <v>7.0</v>
      </c>
      <c r="S58" s="28">
        <v>0.05</v>
      </c>
      <c r="T58" s="28">
        <v>193877.0</v>
      </c>
      <c r="U58" s="28">
        <v>278354.0</v>
      </c>
      <c r="V58" s="28">
        <v>-7.46</v>
      </c>
      <c r="W58" s="28">
        <v>149.93</v>
      </c>
      <c r="X58" s="28">
        <v>148.76</v>
      </c>
      <c r="Y58" s="28">
        <v>705.61</v>
      </c>
      <c r="Z58" s="28">
        <v>517.7</v>
      </c>
      <c r="AA58" s="28">
        <v>217.69</v>
      </c>
      <c r="AB58" s="28">
        <v>43.24</v>
      </c>
      <c r="AC58" s="28">
        <v>12.95</v>
      </c>
      <c r="AD58" s="28">
        <v>2.39</v>
      </c>
      <c r="AE58" s="28">
        <v>4.68</v>
      </c>
      <c r="AF58" s="28">
        <v>63.35</v>
      </c>
      <c r="AG58" s="28">
        <v>0.0</v>
      </c>
      <c r="AH58" s="29">
        <f t="shared" si="7"/>
        <v>1.249477352</v>
      </c>
      <c r="AI58" s="29">
        <f t="shared" si="8"/>
        <v>1.058823529</v>
      </c>
      <c r="AJ58" s="29">
        <f t="shared" si="9"/>
        <v>0.9536165636</v>
      </c>
      <c r="AK58" s="29">
        <f t="shared" si="10"/>
        <v>0.2248504683</v>
      </c>
      <c r="AL58" s="29">
        <f t="shared" si="11"/>
        <v>0.1649708584</v>
      </c>
      <c r="AM58" s="29">
        <f t="shared" si="12"/>
        <v>0.06936933779</v>
      </c>
      <c r="AN58" s="29">
        <f t="shared" si="13"/>
        <v>0.692</v>
      </c>
      <c r="AO58" s="29">
        <f t="shared" si="14"/>
        <v>0.91</v>
      </c>
      <c r="AP58" s="29">
        <f t="shared" si="15"/>
        <v>0.756</v>
      </c>
      <c r="AQ58" s="29">
        <f t="shared" si="16"/>
        <v>0.795</v>
      </c>
      <c r="AR58" s="29">
        <f t="shared" si="17"/>
        <v>0.359</v>
      </c>
      <c r="AS58" s="29">
        <f t="shared" si="18"/>
        <v>0.141</v>
      </c>
      <c r="AT58" s="29">
        <f t="shared" si="19"/>
        <v>0.628</v>
      </c>
      <c r="AU58" s="29">
        <f t="shared" si="20"/>
        <v>0.656875</v>
      </c>
      <c r="AV58" s="29">
        <f t="shared" si="21"/>
        <v>0.282</v>
      </c>
      <c r="AW58" s="29">
        <f t="shared" si="22"/>
        <v>0.154</v>
      </c>
      <c r="AX58" s="29">
        <f t="shared" si="23"/>
        <v>0.577</v>
      </c>
      <c r="AY58" s="29">
        <f t="shared" si="24"/>
        <v>0.256</v>
      </c>
      <c r="AZ58" s="29">
        <f t="shared" si="25"/>
        <v>0.128</v>
      </c>
      <c r="BA58" s="29">
        <f t="shared" si="26"/>
        <v>0.2486</v>
      </c>
      <c r="BB58" s="29">
        <f t="shared" si="27"/>
        <v>0.692</v>
      </c>
      <c r="BC58" s="29">
        <f t="shared" si="28"/>
        <v>0.526</v>
      </c>
      <c r="BD58" s="29">
        <f t="shared" si="29"/>
        <v>0.718</v>
      </c>
      <c r="BE58" s="29">
        <f t="shared" si="30"/>
        <v>0.244</v>
      </c>
      <c r="BF58" s="29">
        <f t="shared" si="31"/>
        <v>1</v>
      </c>
      <c r="BG58" s="29">
        <f t="shared" si="32"/>
        <v>0.474</v>
      </c>
      <c r="BH58" s="29">
        <f t="shared" si="33"/>
        <v>0.5667</v>
      </c>
      <c r="BI58" s="29">
        <f t="shared" si="34"/>
        <v>0.859</v>
      </c>
      <c r="BJ58" s="29">
        <f t="shared" si="35"/>
        <v>0.372</v>
      </c>
      <c r="BK58" s="29">
        <f t="shared" si="36"/>
        <v>0.103</v>
      </c>
      <c r="BL58" s="29">
        <f t="shared" si="37"/>
        <v>0.707575</v>
      </c>
      <c r="BM58" s="29">
        <f t="shared" si="38"/>
        <v>0.103</v>
      </c>
      <c r="BN58" s="30">
        <f t="shared" si="39"/>
        <v>1</v>
      </c>
      <c r="BO58" s="29">
        <f t="shared" si="40"/>
        <v>0.5515</v>
      </c>
      <c r="BP58" s="29">
        <f t="shared" si="41"/>
        <v>0.526</v>
      </c>
      <c r="BQ58" s="29">
        <f t="shared" si="42"/>
        <v>0.4665</v>
      </c>
      <c r="BR58" s="31" t="str">
        <f t="shared" si="43"/>
        <v>High</v>
      </c>
      <c r="BS58" s="29">
        <f t="shared" si="44"/>
        <v>0.40792875</v>
      </c>
      <c r="BT58" s="31" t="str">
        <f t="shared" si="45"/>
        <v>Y</v>
      </c>
      <c r="BU58" s="31" t="str">
        <f t="shared" si="46"/>
        <v>Y</v>
      </c>
      <c r="BV58" s="31" t="str">
        <f t="shared" si="47"/>
        <v>Y</v>
      </c>
      <c r="BW58" s="31" t="str">
        <f t="shared" si="48"/>
        <v>Y</v>
      </c>
      <c r="BX58" s="31" t="str">
        <f t="shared" si="49"/>
        <v>Y</v>
      </c>
      <c r="BY58" s="30">
        <f t="shared" si="50"/>
        <v>31</v>
      </c>
      <c r="BZ58" s="32" t="str">
        <f t="shared" si="51"/>
        <v/>
      </c>
      <c r="CA58" s="9">
        <f t="shared" ref="CA58:CG58" si="387">IF(ISNUMBER(F58),F58,IFERROR(VALUE(SUBSTITUTE(SUBSTITUTE(SUBSTITUTE(SUBSTITUTE(F58,"(","-"),")",""),",","")," ","")),"" ))</f>
        <v>141.86</v>
      </c>
      <c r="CB58" s="9">
        <f t="shared" si="387"/>
        <v>3138.13</v>
      </c>
      <c r="CC58" s="9">
        <f t="shared" si="387"/>
        <v>17.93</v>
      </c>
      <c r="CD58" s="9">
        <f t="shared" si="387"/>
        <v>14.35</v>
      </c>
      <c r="CE58" s="9">
        <f t="shared" si="387"/>
        <v>1.62</v>
      </c>
      <c r="CF58" s="9">
        <f t="shared" si="387"/>
        <v>1.53</v>
      </c>
      <c r="CG58" s="9">
        <f t="shared" si="387"/>
        <v>9.06</v>
      </c>
      <c r="CH58" s="9">
        <f t="shared" si="53"/>
        <v>43.24</v>
      </c>
      <c r="CI58" s="9">
        <f t="shared" ref="CI58:CK58" si="388">IF(ISNUMBER(M58),M58,IFERROR(VALUE(SUBSTITUTE(SUBSTITUTE(SUBSTITUTE(SUBSTITUTE(SUBSTITUTE(M58,"(","-"),")",""),"%",""),",","")," ","")),"" ))</f>
        <v>14.75</v>
      </c>
      <c r="CJ58" s="9">
        <f t="shared" si="388"/>
        <v>12.58</v>
      </c>
      <c r="CK58" s="9">
        <f t="shared" si="388"/>
        <v>10.17</v>
      </c>
      <c r="CL58" s="9">
        <f t="shared" si="55"/>
        <v>3</v>
      </c>
      <c r="CM58" s="9">
        <f t="shared" si="56"/>
        <v>8.46</v>
      </c>
      <c r="CN58" s="9">
        <f t="shared" ref="CN58:CO58" si="389">IF(ISNUMBER(R58),R58,IFERROR(VALUE(SUBSTITUTE(SUBSTITUTE(SUBSTITUTE(SUBSTITUTE(R58,"(","-"),")",""),",","")," ","")),"" ))</f>
        <v>7</v>
      </c>
      <c r="CO58" s="9">
        <f t="shared" si="389"/>
        <v>0.05</v>
      </c>
      <c r="CP58" s="9">
        <f t="shared" ref="CP58:CR58" si="390">IF(ISNUMBER(AC58),AC58,IFERROR(VALUE(SUBSTITUTE(SUBSTITUTE(SUBSTITUTE(SUBSTITUTE(AC58,"(","-"),")",""),",","")," ","")),"" ))</f>
        <v>12.95</v>
      </c>
      <c r="CQ58" s="9">
        <f t="shared" si="390"/>
        <v>2.39</v>
      </c>
      <c r="CR58" s="9">
        <f t="shared" si="390"/>
        <v>4.68</v>
      </c>
      <c r="CS58" s="9">
        <f t="shared" ref="CS58:CT58" si="391">IF(ISNUMBER(AF58),AF58,IFERROR(VALUE(SUBSTITUTE(SUBSTITUTE(SUBSTITUTE(SUBSTITUTE(SUBSTITUTE(AF58,"(","-"),")",""),"%",""),",","")," ","")),"" ))</f>
        <v>63.35</v>
      </c>
      <c r="CT58" s="9">
        <f t="shared" si="391"/>
        <v>0</v>
      </c>
      <c r="CU58" s="9">
        <f t="shared" si="60"/>
        <v>278354</v>
      </c>
      <c r="CV58" s="9">
        <f t="shared" si="61"/>
        <v>-7.46</v>
      </c>
      <c r="CW58" s="9">
        <f t="shared" ref="CW58:DA58" si="392">IF(ISNUMBER(W58),W58,IFERROR(VALUE(SUBSTITUTE(SUBSTITUTE(SUBSTITUTE(SUBSTITUTE(W58,"(","-"),")",""),",","")," ","")),"" ))</f>
        <v>149.93</v>
      </c>
      <c r="CX58" s="9">
        <f t="shared" si="392"/>
        <v>148.76</v>
      </c>
      <c r="CY58" s="9">
        <f t="shared" si="392"/>
        <v>705.61</v>
      </c>
      <c r="CZ58" s="9">
        <f t="shared" si="392"/>
        <v>517.7</v>
      </c>
      <c r="DA58" s="9">
        <f t="shared" si="392"/>
        <v>217.69</v>
      </c>
    </row>
    <row r="59" ht="15.75" customHeight="1">
      <c r="A59" s="33">
        <v>58.0</v>
      </c>
      <c r="B59" s="34" t="s">
        <v>122</v>
      </c>
      <c r="C59" s="12" t="s">
        <v>46</v>
      </c>
      <c r="D59" s="13" t="s">
        <v>123</v>
      </c>
      <c r="E59" s="35" t="s">
        <v>124</v>
      </c>
      <c r="F59" s="36">
        <v>467.05</v>
      </c>
      <c r="G59" s="36">
        <v>17718.12</v>
      </c>
      <c r="H59" s="36">
        <v>21.53</v>
      </c>
      <c r="I59" s="36">
        <v>27.29</v>
      </c>
      <c r="J59" s="36">
        <v>2.38</v>
      </c>
      <c r="K59" s="36">
        <v>3.26</v>
      </c>
      <c r="L59" s="36">
        <v>12.2</v>
      </c>
      <c r="M59" s="36">
        <v>14.74</v>
      </c>
      <c r="N59" s="36">
        <v>11.73</v>
      </c>
      <c r="O59" s="36">
        <v>8.03</v>
      </c>
      <c r="P59" s="36">
        <v>5.0</v>
      </c>
      <c r="Q59" s="36">
        <v>6.19</v>
      </c>
      <c r="R59" s="36">
        <v>6.0</v>
      </c>
      <c r="S59" s="36">
        <v>0.06</v>
      </c>
      <c r="T59" s="36">
        <v>358031.0</v>
      </c>
      <c r="U59" s="36">
        <v>248338.0</v>
      </c>
      <c r="V59" s="36">
        <v>18.9</v>
      </c>
      <c r="W59" s="36">
        <v>439.71</v>
      </c>
      <c r="X59" s="36">
        <v>429.92</v>
      </c>
      <c r="Y59" s="36">
        <v>5691.42</v>
      </c>
      <c r="Z59" s="36">
        <v>3504.69</v>
      </c>
      <c r="AA59" s="36">
        <v>2256.51</v>
      </c>
      <c r="AB59" s="36">
        <v>23.56</v>
      </c>
      <c r="AC59" s="36">
        <v>41.78</v>
      </c>
      <c r="AD59" s="36">
        <v>1.05</v>
      </c>
      <c r="AE59" s="36">
        <v>4.96</v>
      </c>
      <c r="AF59" s="36">
        <v>65.7</v>
      </c>
      <c r="AG59" s="36">
        <v>0.0</v>
      </c>
      <c r="AH59" s="38">
        <f t="shared" si="7"/>
        <v>0.7889336753</v>
      </c>
      <c r="AI59" s="38">
        <f t="shared" si="8"/>
        <v>0.7300613497</v>
      </c>
      <c r="AJ59" s="38">
        <f t="shared" si="9"/>
        <v>1.086364905</v>
      </c>
      <c r="AK59" s="38">
        <f t="shared" si="10"/>
        <v>0.3212203101</v>
      </c>
      <c r="AL59" s="38">
        <f t="shared" si="11"/>
        <v>0.1978025885</v>
      </c>
      <c r="AM59" s="38">
        <f t="shared" si="12"/>
        <v>0.1273560626</v>
      </c>
      <c r="AN59" s="38">
        <f t="shared" si="13"/>
        <v>0.513</v>
      </c>
      <c r="AO59" s="38">
        <f t="shared" si="14"/>
        <v>0.769</v>
      </c>
      <c r="AP59" s="38">
        <f t="shared" si="15"/>
        <v>0.474</v>
      </c>
      <c r="AQ59" s="38">
        <f t="shared" si="16"/>
        <v>0.462</v>
      </c>
      <c r="AR59" s="38">
        <f t="shared" si="17"/>
        <v>0.615</v>
      </c>
      <c r="AS59" s="38">
        <f t="shared" si="18"/>
        <v>0.59</v>
      </c>
      <c r="AT59" s="38">
        <f t="shared" si="19"/>
        <v>0.91</v>
      </c>
      <c r="AU59" s="38">
        <f t="shared" si="20"/>
        <v>0.5868</v>
      </c>
      <c r="AV59" s="38">
        <f t="shared" si="21"/>
        <v>0.269</v>
      </c>
      <c r="AW59" s="38">
        <f t="shared" si="22"/>
        <v>0.064</v>
      </c>
      <c r="AX59" s="38">
        <f t="shared" si="23"/>
        <v>0.359</v>
      </c>
      <c r="AY59" s="38">
        <f t="shared" si="24"/>
        <v>0</v>
      </c>
      <c r="AZ59" s="38">
        <f t="shared" si="25"/>
        <v>0.577</v>
      </c>
      <c r="BA59" s="38">
        <f t="shared" si="26"/>
        <v>0.23135</v>
      </c>
      <c r="BB59" s="38">
        <f t="shared" si="27"/>
        <v>0.654</v>
      </c>
      <c r="BC59" s="38">
        <f t="shared" si="28"/>
        <v>0.692</v>
      </c>
      <c r="BD59" s="38">
        <f t="shared" si="29"/>
        <v>0.359</v>
      </c>
      <c r="BE59" s="38">
        <f t="shared" si="30"/>
        <v>0.308</v>
      </c>
      <c r="BF59" s="38">
        <f t="shared" si="31"/>
        <v>1</v>
      </c>
      <c r="BG59" s="38">
        <f t="shared" si="32"/>
        <v>0.538</v>
      </c>
      <c r="BH59" s="38">
        <f t="shared" si="33"/>
        <v>0.5667</v>
      </c>
      <c r="BI59" s="38">
        <f t="shared" si="34"/>
        <v>0.41</v>
      </c>
      <c r="BJ59" s="38">
        <f t="shared" si="35"/>
        <v>0.09</v>
      </c>
      <c r="BK59" s="38">
        <f t="shared" si="36"/>
        <v>0.628</v>
      </c>
      <c r="BL59" s="38">
        <f t="shared" si="37"/>
        <v>0.729975</v>
      </c>
      <c r="BM59" s="38">
        <f t="shared" si="38"/>
        <v>0.705</v>
      </c>
      <c r="BN59" s="39">
        <f t="shared" si="39"/>
        <v>1</v>
      </c>
      <c r="BO59" s="38">
        <f t="shared" si="40"/>
        <v>0.8525</v>
      </c>
      <c r="BP59" s="38">
        <f t="shared" si="41"/>
        <v>0.5</v>
      </c>
      <c r="BQ59" s="38">
        <f t="shared" si="42"/>
        <v>0.6461</v>
      </c>
      <c r="BR59" s="40" t="str">
        <f t="shared" si="43"/>
        <v>High</v>
      </c>
      <c r="BS59" s="38">
        <f t="shared" si="44"/>
        <v>0.42484875</v>
      </c>
      <c r="BT59" s="40" t="str">
        <f t="shared" si="45"/>
        <v>Y</v>
      </c>
      <c r="BU59" s="40" t="str">
        <f t="shared" si="46"/>
        <v>Y</v>
      </c>
      <c r="BV59" s="40" t="str">
        <f t="shared" si="47"/>
        <v>Y</v>
      </c>
      <c r="BW59" s="40" t="str">
        <f t="shared" si="48"/>
        <v>Y</v>
      </c>
      <c r="BX59" s="40" t="str">
        <f t="shared" si="49"/>
        <v>Y</v>
      </c>
      <c r="BY59" s="39">
        <f t="shared" si="50"/>
        <v>29</v>
      </c>
      <c r="BZ59" s="41" t="str">
        <f t="shared" si="51"/>
        <v/>
      </c>
      <c r="CA59" s="12">
        <f t="shared" ref="CA59:CG59" si="393">IF(ISNUMBER(F59),F59,IFERROR(VALUE(SUBSTITUTE(SUBSTITUTE(SUBSTITUTE(SUBSTITUTE(F59,"(","-"),")",""),",","")," ","")),"" ))</f>
        <v>467.05</v>
      </c>
      <c r="CB59" s="12">
        <f t="shared" si="393"/>
        <v>17718.12</v>
      </c>
      <c r="CC59" s="12">
        <f t="shared" si="393"/>
        <v>21.53</v>
      </c>
      <c r="CD59" s="12">
        <f t="shared" si="393"/>
        <v>27.29</v>
      </c>
      <c r="CE59" s="12">
        <f t="shared" si="393"/>
        <v>2.38</v>
      </c>
      <c r="CF59" s="12">
        <f t="shared" si="393"/>
        <v>3.26</v>
      </c>
      <c r="CG59" s="12">
        <f t="shared" si="393"/>
        <v>12.2</v>
      </c>
      <c r="CH59" s="12">
        <f t="shared" si="53"/>
        <v>23.56</v>
      </c>
      <c r="CI59" s="12">
        <f t="shared" ref="CI59:CK59" si="394">IF(ISNUMBER(M59),M59,IFERROR(VALUE(SUBSTITUTE(SUBSTITUTE(SUBSTITUTE(SUBSTITUTE(SUBSTITUTE(M59,"(","-"),")",""),"%",""),",","")," ","")),"" ))</f>
        <v>14.74</v>
      </c>
      <c r="CJ59" s="12">
        <f t="shared" si="394"/>
        <v>11.73</v>
      </c>
      <c r="CK59" s="12">
        <f t="shared" si="394"/>
        <v>8.03</v>
      </c>
      <c r="CL59" s="12">
        <f t="shared" si="55"/>
        <v>5</v>
      </c>
      <c r="CM59" s="12">
        <f t="shared" si="56"/>
        <v>6.19</v>
      </c>
      <c r="CN59" s="12">
        <f t="shared" ref="CN59:CO59" si="395">IF(ISNUMBER(R59),R59,IFERROR(VALUE(SUBSTITUTE(SUBSTITUTE(SUBSTITUTE(SUBSTITUTE(R59,"(","-"),")",""),",","")," ","")),"" ))</f>
        <v>6</v>
      </c>
      <c r="CO59" s="12">
        <f t="shared" si="395"/>
        <v>0.06</v>
      </c>
      <c r="CP59" s="12">
        <f t="shared" ref="CP59:CR59" si="396">IF(ISNUMBER(AC59),AC59,IFERROR(VALUE(SUBSTITUTE(SUBSTITUTE(SUBSTITUTE(SUBSTITUTE(AC59,"(","-"),")",""),",","")," ","")),"" ))</f>
        <v>41.78</v>
      </c>
      <c r="CQ59" s="12">
        <f t="shared" si="396"/>
        <v>1.05</v>
      </c>
      <c r="CR59" s="12">
        <f t="shared" si="396"/>
        <v>4.96</v>
      </c>
      <c r="CS59" s="12">
        <f t="shared" ref="CS59:CT59" si="397">IF(ISNUMBER(AF59),AF59,IFERROR(VALUE(SUBSTITUTE(SUBSTITUTE(SUBSTITUTE(SUBSTITUTE(SUBSTITUTE(AF59,"(","-"),")",""),"%",""),",","")," ","")),"" ))</f>
        <v>65.7</v>
      </c>
      <c r="CT59" s="12">
        <f t="shared" si="397"/>
        <v>0</v>
      </c>
      <c r="CU59" s="12">
        <f t="shared" si="60"/>
        <v>248338</v>
      </c>
      <c r="CV59" s="12">
        <f t="shared" si="61"/>
        <v>18.9</v>
      </c>
      <c r="CW59" s="12">
        <f t="shared" ref="CW59:DA59" si="398">IF(ISNUMBER(W59),W59,IFERROR(VALUE(SUBSTITUTE(SUBSTITUTE(SUBSTITUTE(SUBSTITUTE(W59,"(","-"),")",""),",","")," ","")),"" ))</f>
        <v>439.71</v>
      </c>
      <c r="CX59" s="12">
        <f t="shared" si="398"/>
        <v>429.92</v>
      </c>
      <c r="CY59" s="12">
        <f t="shared" si="398"/>
        <v>5691.42</v>
      </c>
      <c r="CZ59" s="12">
        <f t="shared" si="398"/>
        <v>3504.69</v>
      </c>
      <c r="DA59" s="12">
        <f t="shared" si="398"/>
        <v>2256.51</v>
      </c>
    </row>
    <row r="60" ht="15.75" customHeight="1">
      <c r="A60" s="25">
        <v>59.0</v>
      </c>
      <c r="B60" s="26" t="s">
        <v>206</v>
      </c>
      <c r="C60" s="9" t="s">
        <v>46</v>
      </c>
      <c r="D60" s="10" t="s">
        <v>207</v>
      </c>
      <c r="E60" s="27" t="s">
        <v>208</v>
      </c>
      <c r="F60" s="28">
        <v>124.37</v>
      </c>
      <c r="G60" s="28">
        <v>11928.98</v>
      </c>
      <c r="H60" s="28">
        <v>51.17</v>
      </c>
      <c r="I60" s="28">
        <v>21.77</v>
      </c>
      <c r="J60" s="28">
        <v>2.47</v>
      </c>
      <c r="K60" s="28">
        <v>1.6</v>
      </c>
      <c r="L60" s="28">
        <v>15.74</v>
      </c>
      <c r="M60" s="28">
        <v>14.41</v>
      </c>
      <c r="N60" s="28">
        <v>13.66</v>
      </c>
      <c r="O60" s="28">
        <v>6.51</v>
      </c>
      <c r="P60" s="28">
        <v>2.0</v>
      </c>
      <c r="Q60" s="28">
        <v>3.69</v>
      </c>
      <c r="R60" s="28">
        <v>7.0</v>
      </c>
      <c r="S60" s="28">
        <v>0.56</v>
      </c>
      <c r="T60" s="28">
        <v>2539505.0</v>
      </c>
      <c r="U60" s="28">
        <v>5923521.0</v>
      </c>
      <c r="V60" s="28">
        <v>11.07</v>
      </c>
      <c r="W60" s="28">
        <v>132.23</v>
      </c>
      <c r="X60" s="28">
        <v>132.3</v>
      </c>
      <c r="Y60" s="28">
        <v>3517.03</v>
      </c>
      <c r="Z60" s="28">
        <v>1390.98</v>
      </c>
      <c r="AA60" s="28">
        <v>777.52</v>
      </c>
      <c r="AB60" s="28">
        <v>46.03</v>
      </c>
      <c r="AC60" s="28">
        <v>2.92</v>
      </c>
      <c r="AD60" s="28">
        <v>0.99</v>
      </c>
      <c r="AE60" s="28">
        <v>3.84</v>
      </c>
      <c r="AF60" s="28">
        <v>66.24</v>
      </c>
      <c r="AG60" s="28">
        <v>0.0</v>
      </c>
      <c r="AH60" s="29">
        <f t="shared" si="7"/>
        <v>2.350482315</v>
      </c>
      <c r="AI60" s="29">
        <f t="shared" si="8"/>
        <v>1.54375</v>
      </c>
      <c r="AJ60" s="29">
        <f t="shared" si="9"/>
        <v>0.9400604686</v>
      </c>
      <c r="AK60" s="29">
        <f t="shared" si="10"/>
        <v>0.2948307399</v>
      </c>
      <c r="AL60" s="29">
        <f t="shared" si="11"/>
        <v>0.1166051079</v>
      </c>
      <c r="AM60" s="29">
        <f t="shared" si="12"/>
        <v>0.06517908488</v>
      </c>
      <c r="AN60" s="29">
        <f t="shared" si="13"/>
        <v>0.013</v>
      </c>
      <c r="AO60" s="29">
        <f t="shared" si="14"/>
        <v>0.731</v>
      </c>
      <c r="AP60" s="29">
        <f t="shared" si="15"/>
        <v>0.205</v>
      </c>
      <c r="AQ60" s="29">
        <f t="shared" si="16"/>
        <v>0.038</v>
      </c>
      <c r="AR60" s="29">
        <f t="shared" si="17"/>
        <v>0.333</v>
      </c>
      <c r="AS60" s="29">
        <f t="shared" si="18"/>
        <v>0</v>
      </c>
      <c r="AT60" s="29">
        <f t="shared" si="19"/>
        <v>0.372</v>
      </c>
      <c r="AU60" s="29">
        <f t="shared" si="20"/>
        <v>0.2368</v>
      </c>
      <c r="AV60" s="29">
        <f t="shared" si="21"/>
        <v>0.256</v>
      </c>
      <c r="AW60" s="29">
        <f t="shared" si="22"/>
        <v>0.256</v>
      </c>
      <c r="AX60" s="29">
        <f t="shared" si="23"/>
        <v>0.231</v>
      </c>
      <c r="AY60" s="29">
        <f t="shared" si="24"/>
        <v>0.256</v>
      </c>
      <c r="AZ60" s="29">
        <f t="shared" si="25"/>
        <v>0.026</v>
      </c>
      <c r="BA60" s="29">
        <f t="shared" si="26"/>
        <v>0.2075</v>
      </c>
      <c r="BB60" s="29">
        <f t="shared" si="27"/>
        <v>0.256</v>
      </c>
      <c r="BC60" s="29">
        <f t="shared" si="28"/>
        <v>0.103</v>
      </c>
      <c r="BD60" s="29">
        <f t="shared" si="29"/>
        <v>0.333</v>
      </c>
      <c r="BE60" s="29">
        <f t="shared" si="30"/>
        <v>0.128</v>
      </c>
      <c r="BF60" s="29">
        <f t="shared" si="31"/>
        <v>1</v>
      </c>
      <c r="BG60" s="29">
        <f t="shared" si="32"/>
        <v>0.551</v>
      </c>
      <c r="BH60" s="29">
        <f t="shared" si="33"/>
        <v>0.31265</v>
      </c>
      <c r="BI60" s="29">
        <f t="shared" si="34"/>
        <v>1</v>
      </c>
      <c r="BJ60" s="29">
        <f t="shared" si="35"/>
        <v>0.628</v>
      </c>
      <c r="BK60" s="29">
        <f t="shared" si="36"/>
        <v>0.064</v>
      </c>
      <c r="BL60" s="29">
        <f t="shared" si="37"/>
        <v>0.6710125</v>
      </c>
      <c r="BM60" s="29">
        <f t="shared" si="38"/>
        <v>0.551</v>
      </c>
      <c r="BN60" s="30">
        <f t="shared" si="39"/>
        <v>1</v>
      </c>
      <c r="BO60" s="29">
        <f t="shared" si="40"/>
        <v>0.7755</v>
      </c>
      <c r="BP60" s="29">
        <f t="shared" si="41"/>
        <v>0.91</v>
      </c>
      <c r="BQ60" s="29">
        <f t="shared" si="42"/>
        <v>0.6461</v>
      </c>
      <c r="BR60" s="31" t="str">
        <f t="shared" si="43"/>
        <v>High</v>
      </c>
      <c r="BS60" s="29">
        <f t="shared" si="44"/>
        <v>0.300100625</v>
      </c>
      <c r="BT60" s="31" t="str">
        <f t="shared" si="45"/>
        <v>Y</v>
      </c>
      <c r="BU60" s="31" t="str">
        <f t="shared" si="46"/>
        <v>Y</v>
      </c>
      <c r="BV60" s="31" t="str">
        <f t="shared" si="47"/>
        <v>Y</v>
      </c>
      <c r="BW60" s="31" t="str">
        <f t="shared" si="48"/>
        <v>Y</v>
      </c>
      <c r="BX60" s="31" t="str">
        <f t="shared" si="49"/>
        <v>Y</v>
      </c>
      <c r="BY60" s="30">
        <f t="shared" si="50"/>
        <v>36</v>
      </c>
      <c r="BZ60" s="32" t="str">
        <f t="shared" si="51"/>
        <v/>
      </c>
      <c r="CA60" s="9">
        <f t="shared" ref="CA60:CG60" si="399">IF(ISNUMBER(F60),F60,IFERROR(VALUE(SUBSTITUTE(SUBSTITUTE(SUBSTITUTE(SUBSTITUTE(F60,"(","-"),")",""),",","")," ","")),"" ))</f>
        <v>124.37</v>
      </c>
      <c r="CB60" s="9">
        <f t="shared" si="399"/>
        <v>11928.98</v>
      </c>
      <c r="CC60" s="9">
        <f t="shared" si="399"/>
        <v>51.17</v>
      </c>
      <c r="CD60" s="9">
        <f t="shared" si="399"/>
        <v>21.77</v>
      </c>
      <c r="CE60" s="9">
        <f t="shared" si="399"/>
        <v>2.47</v>
      </c>
      <c r="CF60" s="9">
        <f t="shared" si="399"/>
        <v>1.6</v>
      </c>
      <c r="CG60" s="9">
        <f t="shared" si="399"/>
        <v>15.74</v>
      </c>
      <c r="CH60" s="9">
        <f t="shared" si="53"/>
        <v>46.03</v>
      </c>
      <c r="CI60" s="9">
        <f t="shared" ref="CI60:CK60" si="400">IF(ISNUMBER(M60),M60,IFERROR(VALUE(SUBSTITUTE(SUBSTITUTE(SUBSTITUTE(SUBSTITUTE(SUBSTITUTE(M60,"(","-"),")",""),"%",""),",","")," ","")),"" ))</f>
        <v>14.41</v>
      </c>
      <c r="CJ60" s="9">
        <f t="shared" si="400"/>
        <v>13.66</v>
      </c>
      <c r="CK60" s="9">
        <f t="shared" si="400"/>
        <v>6.51</v>
      </c>
      <c r="CL60" s="9">
        <f t="shared" si="55"/>
        <v>2</v>
      </c>
      <c r="CM60" s="9">
        <f t="shared" si="56"/>
        <v>3.69</v>
      </c>
      <c r="CN60" s="9">
        <f t="shared" ref="CN60:CO60" si="401">IF(ISNUMBER(R60),R60,IFERROR(VALUE(SUBSTITUTE(SUBSTITUTE(SUBSTITUTE(SUBSTITUTE(R60,"(","-"),")",""),",","")," ","")),"" ))</f>
        <v>7</v>
      </c>
      <c r="CO60" s="9">
        <f t="shared" si="401"/>
        <v>0.56</v>
      </c>
      <c r="CP60" s="9">
        <f t="shared" ref="CP60:CR60" si="402">IF(ISNUMBER(AC60),AC60,IFERROR(VALUE(SUBSTITUTE(SUBSTITUTE(SUBSTITUTE(SUBSTITUTE(AC60,"(","-"),")",""),",","")," ","")),"" ))</f>
        <v>2.92</v>
      </c>
      <c r="CQ60" s="9">
        <f t="shared" si="402"/>
        <v>0.99</v>
      </c>
      <c r="CR60" s="9">
        <f t="shared" si="402"/>
        <v>3.84</v>
      </c>
      <c r="CS60" s="9">
        <f t="shared" ref="CS60:CT60" si="403">IF(ISNUMBER(AF60),AF60,IFERROR(VALUE(SUBSTITUTE(SUBSTITUTE(SUBSTITUTE(SUBSTITUTE(SUBSTITUTE(AF60,"(","-"),")",""),"%",""),",","")," ","")),"" ))</f>
        <v>66.24</v>
      </c>
      <c r="CT60" s="9">
        <f t="shared" si="403"/>
        <v>0</v>
      </c>
      <c r="CU60" s="9">
        <f t="shared" si="60"/>
        <v>5923521</v>
      </c>
      <c r="CV60" s="9">
        <f t="shared" si="61"/>
        <v>11.07</v>
      </c>
      <c r="CW60" s="9">
        <f t="shared" ref="CW60:DA60" si="404">IF(ISNUMBER(W60),W60,IFERROR(VALUE(SUBSTITUTE(SUBSTITUTE(SUBSTITUTE(SUBSTITUTE(W60,"(","-"),")",""),",","")," ","")),"" ))</f>
        <v>132.23</v>
      </c>
      <c r="CX60" s="9">
        <f t="shared" si="404"/>
        <v>132.3</v>
      </c>
      <c r="CY60" s="9">
        <f t="shared" si="404"/>
        <v>3517.03</v>
      </c>
      <c r="CZ60" s="9">
        <f t="shared" si="404"/>
        <v>1390.98</v>
      </c>
      <c r="DA60" s="9">
        <f t="shared" si="404"/>
        <v>777.52</v>
      </c>
    </row>
    <row r="61" ht="15.75" customHeight="1">
      <c r="A61" s="33">
        <v>60.0</v>
      </c>
      <c r="B61" s="34" t="s">
        <v>209</v>
      </c>
      <c r="C61" s="12" t="s">
        <v>46</v>
      </c>
      <c r="D61" s="13" t="s">
        <v>210</v>
      </c>
      <c r="E61" s="35" t="s">
        <v>211</v>
      </c>
      <c r="F61" s="36">
        <v>187.7</v>
      </c>
      <c r="G61" s="36">
        <v>16703.03</v>
      </c>
      <c r="H61" s="36">
        <v>34.71</v>
      </c>
      <c r="I61" s="36">
        <v>27.29</v>
      </c>
      <c r="J61" s="36">
        <v>3.36</v>
      </c>
      <c r="K61" s="36">
        <v>3.26</v>
      </c>
      <c r="L61" s="36">
        <v>14.31</v>
      </c>
      <c r="M61" s="36">
        <v>14.3</v>
      </c>
      <c r="N61" s="36">
        <v>14.09</v>
      </c>
      <c r="O61" s="36">
        <v>5.35</v>
      </c>
      <c r="P61" s="36">
        <v>2.0</v>
      </c>
      <c r="Q61" s="36">
        <v>5.0</v>
      </c>
      <c r="R61" s="36">
        <v>6.0</v>
      </c>
      <c r="S61" s="36">
        <v>0.29</v>
      </c>
      <c r="T61" s="36">
        <v>9792981.0</v>
      </c>
      <c r="U61" s="36">
        <v>1.3365984E7</v>
      </c>
      <c r="V61" s="36">
        <v>36.16</v>
      </c>
      <c r="W61" s="36">
        <v>176.75</v>
      </c>
      <c r="X61" s="36">
        <v>151.23</v>
      </c>
      <c r="Y61" s="37"/>
      <c r="Z61" s="37"/>
      <c r="AA61" s="36">
        <v>-652.88</v>
      </c>
      <c r="AB61" s="36">
        <v>-76.75</v>
      </c>
      <c r="AC61" s="36">
        <v>3.55</v>
      </c>
      <c r="AD61" s="36">
        <v>1.64</v>
      </c>
      <c r="AE61" s="36">
        <v>6.01</v>
      </c>
      <c r="AF61" s="36">
        <v>66.46</v>
      </c>
      <c r="AG61" s="36">
        <v>0.0</v>
      </c>
      <c r="AH61" s="38">
        <f t="shared" si="7"/>
        <v>1.271894467</v>
      </c>
      <c r="AI61" s="38">
        <f t="shared" si="8"/>
        <v>1.030674847</v>
      </c>
      <c r="AJ61" s="38">
        <f t="shared" si="9"/>
        <v>1.241155855</v>
      </c>
      <c r="AK61" s="38">
        <f t="shared" si="10"/>
        <v>0</v>
      </c>
      <c r="AL61" s="38">
        <f t="shared" si="11"/>
        <v>0</v>
      </c>
      <c r="AM61" s="38">
        <f t="shared" si="12"/>
        <v>-0.03908751885</v>
      </c>
      <c r="AN61" s="38">
        <f t="shared" si="13"/>
        <v>0.064</v>
      </c>
      <c r="AO61" s="38">
        <f t="shared" si="14"/>
        <v>0.538</v>
      </c>
      <c r="AP61" s="38">
        <f t="shared" si="15"/>
        <v>0.282</v>
      </c>
      <c r="AQ61" s="38">
        <f t="shared" si="16"/>
        <v>0.218</v>
      </c>
      <c r="AR61" s="38" t="str">
        <f t="shared" si="17"/>
        <v/>
      </c>
      <c r="AS61" s="38">
        <f t="shared" si="18"/>
        <v>0.128</v>
      </c>
      <c r="AT61" s="38">
        <f t="shared" si="19"/>
        <v>0.641</v>
      </c>
      <c r="AU61" s="38">
        <f t="shared" si="20"/>
        <v>0.2826764706</v>
      </c>
      <c r="AV61" s="38">
        <f t="shared" si="21"/>
        <v>0.244</v>
      </c>
      <c r="AW61" s="38">
        <f t="shared" si="22"/>
        <v>0.308</v>
      </c>
      <c r="AX61" s="38">
        <f t="shared" si="23"/>
        <v>0.141</v>
      </c>
      <c r="AY61" s="38">
        <f t="shared" si="24"/>
        <v>0</v>
      </c>
      <c r="AZ61" s="38">
        <f t="shared" si="25"/>
        <v>0.026</v>
      </c>
      <c r="BA61" s="38">
        <f t="shared" si="26"/>
        <v>0.1419</v>
      </c>
      <c r="BB61" s="38">
        <f t="shared" si="27"/>
        <v>0.474</v>
      </c>
      <c r="BC61" s="38">
        <f t="shared" si="28"/>
        <v>0.141</v>
      </c>
      <c r="BD61" s="38">
        <f t="shared" si="29"/>
        <v>0.59</v>
      </c>
      <c r="BE61" s="38">
        <f t="shared" si="30"/>
        <v>0.513</v>
      </c>
      <c r="BF61" s="38">
        <f t="shared" si="31"/>
        <v>1</v>
      </c>
      <c r="BG61" s="38">
        <f t="shared" si="32"/>
        <v>0.564</v>
      </c>
      <c r="BH61" s="38">
        <f t="shared" si="33"/>
        <v>0.507</v>
      </c>
      <c r="BI61" s="38">
        <f t="shared" si="34"/>
        <v>0.872</v>
      </c>
      <c r="BJ61" s="38">
        <f t="shared" si="35"/>
        <v>0.359</v>
      </c>
      <c r="BK61" s="38">
        <f t="shared" si="36"/>
        <v>0.885</v>
      </c>
      <c r="BL61" s="38">
        <f t="shared" si="37"/>
        <v>0.72415</v>
      </c>
      <c r="BM61" s="38">
        <f t="shared" si="38"/>
        <v>0.833</v>
      </c>
      <c r="BN61" s="39">
        <f t="shared" si="39"/>
        <v>1</v>
      </c>
      <c r="BO61" s="38">
        <f t="shared" si="40"/>
        <v>0.9165</v>
      </c>
      <c r="BP61" s="38">
        <f t="shared" si="41"/>
        <v>0.974</v>
      </c>
      <c r="BQ61" s="38">
        <f t="shared" si="42"/>
        <v>0.6012</v>
      </c>
      <c r="BR61" s="40" t="str">
        <f t="shared" si="43"/>
        <v>High</v>
      </c>
      <c r="BS61" s="38" t="str">
        <f t="shared" si="44"/>
        <v/>
      </c>
      <c r="BT61" s="40" t="str">
        <f t="shared" si="45"/>
        <v>Y</v>
      </c>
      <c r="BU61" s="40" t="str">
        <f t="shared" si="46"/>
        <v>Y</v>
      </c>
      <c r="BV61" s="40" t="str">
        <f t="shared" si="47"/>
        <v>Y</v>
      </c>
      <c r="BW61" s="40" t="str">
        <f t="shared" si="48"/>
        <v>Y</v>
      </c>
      <c r="BX61" s="40" t="str">
        <f t="shared" si="49"/>
        <v>Y</v>
      </c>
      <c r="BY61" s="39">
        <f t="shared" si="50"/>
        <v>1</v>
      </c>
      <c r="BZ61" s="41">
        <f t="shared" si="51"/>
        <v>0.04</v>
      </c>
      <c r="CA61" s="12">
        <f t="shared" ref="CA61:CG61" si="405">IF(ISNUMBER(F61),F61,IFERROR(VALUE(SUBSTITUTE(SUBSTITUTE(SUBSTITUTE(SUBSTITUTE(F61,"(","-"),")",""),",","")," ","")),"" ))</f>
        <v>187.7</v>
      </c>
      <c r="CB61" s="12">
        <f t="shared" si="405"/>
        <v>16703.03</v>
      </c>
      <c r="CC61" s="12">
        <f t="shared" si="405"/>
        <v>34.71</v>
      </c>
      <c r="CD61" s="12">
        <f t="shared" si="405"/>
        <v>27.29</v>
      </c>
      <c r="CE61" s="12">
        <f t="shared" si="405"/>
        <v>3.36</v>
      </c>
      <c r="CF61" s="12">
        <f t="shared" si="405"/>
        <v>3.26</v>
      </c>
      <c r="CG61" s="12">
        <f t="shared" si="405"/>
        <v>14.31</v>
      </c>
      <c r="CH61" s="12">
        <f t="shared" si="53"/>
        <v>-76.75</v>
      </c>
      <c r="CI61" s="12">
        <f t="shared" ref="CI61:CK61" si="406">IF(ISNUMBER(M61),M61,IFERROR(VALUE(SUBSTITUTE(SUBSTITUTE(SUBSTITUTE(SUBSTITUTE(SUBSTITUTE(M61,"(","-"),")",""),"%",""),",","")," ","")),"" ))</f>
        <v>14.3</v>
      </c>
      <c r="CJ61" s="12">
        <f t="shared" si="406"/>
        <v>14.09</v>
      </c>
      <c r="CK61" s="12">
        <f t="shared" si="406"/>
        <v>5.35</v>
      </c>
      <c r="CL61" s="12">
        <f t="shared" si="55"/>
        <v>2</v>
      </c>
      <c r="CM61" s="12">
        <f t="shared" si="56"/>
        <v>5</v>
      </c>
      <c r="CN61" s="12">
        <f t="shared" ref="CN61:CO61" si="407">IF(ISNUMBER(R61),R61,IFERROR(VALUE(SUBSTITUTE(SUBSTITUTE(SUBSTITUTE(SUBSTITUTE(R61,"(","-"),")",""),",","")," ","")),"" ))</f>
        <v>6</v>
      </c>
      <c r="CO61" s="12">
        <f t="shared" si="407"/>
        <v>0.29</v>
      </c>
      <c r="CP61" s="12">
        <f t="shared" ref="CP61:CR61" si="408">IF(ISNUMBER(AC61),AC61,IFERROR(VALUE(SUBSTITUTE(SUBSTITUTE(SUBSTITUTE(SUBSTITUTE(AC61,"(","-"),")",""),",","")," ","")),"" ))</f>
        <v>3.55</v>
      </c>
      <c r="CQ61" s="12">
        <f t="shared" si="408"/>
        <v>1.64</v>
      </c>
      <c r="CR61" s="12">
        <f t="shared" si="408"/>
        <v>6.01</v>
      </c>
      <c r="CS61" s="12">
        <f t="shared" ref="CS61:CT61" si="409">IF(ISNUMBER(AF61),AF61,IFERROR(VALUE(SUBSTITUTE(SUBSTITUTE(SUBSTITUTE(SUBSTITUTE(SUBSTITUTE(AF61,"(","-"),")",""),"%",""),",","")," ","")),"" ))</f>
        <v>66.46</v>
      </c>
      <c r="CT61" s="12">
        <f t="shared" si="409"/>
        <v>0</v>
      </c>
      <c r="CU61" s="12">
        <f t="shared" si="60"/>
        <v>13365984</v>
      </c>
      <c r="CV61" s="12">
        <f t="shared" si="61"/>
        <v>36.16</v>
      </c>
      <c r="CW61" s="12">
        <f t="shared" ref="CW61:DA61" si="410">IF(ISNUMBER(W61),W61,IFERROR(VALUE(SUBSTITUTE(SUBSTITUTE(SUBSTITUTE(SUBSTITUTE(W61,"(","-"),")",""),",","")," ","")),"" ))</f>
        <v>176.75</v>
      </c>
      <c r="CX61" s="12">
        <f t="shared" si="410"/>
        <v>151.23</v>
      </c>
      <c r="CY61" s="12">
        <f t="shared" si="410"/>
        <v>0</v>
      </c>
      <c r="CZ61" s="12">
        <f t="shared" si="410"/>
        <v>0</v>
      </c>
      <c r="DA61" s="12">
        <f t="shared" si="410"/>
        <v>-652.88</v>
      </c>
    </row>
    <row r="62" ht="15.75" customHeight="1">
      <c r="A62" s="25">
        <v>61.0</v>
      </c>
      <c r="B62" s="26" t="s">
        <v>148</v>
      </c>
      <c r="C62" s="9" t="s">
        <v>67</v>
      </c>
      <c r="D62" s="10" t="s">
        <v>149</v>
      </c>
      <c r="E62" s="27" t="s">
        <v>150</v>
      </c>
      <c r="F62" s="28">
        <v>551.45</v>
      </c>
      <c r="G62" s="28">
        <v>17536.11</v>
      </c>
      <c r="H62" s="28">
        <v>27.42</v>
      </c>
      <c r="I62" s="28">
        <v>16.87</v>
      </c>
      <c r="J62" s="28">
        <v>2.61</v>
      </c>
      <c r="K62" s="28">
        <v>2.22</v>
      </c>
      <c r="L62" s="28">
        <v>18.35</v>
      </c>
      <c r="M62" s="28">
        <v>14.06</v>
      </c>
      <c r="N62" s="28">
        <v>10.87</v>
      </c>
      <c r="O62" s="28">
        <v>9.0</v>
      </c>
      <c r="P62" s="28">
        <v>5.0</v>
      </c>
      <c r="Q62" s="28">
        <v>4.91</v>
      </c>
      <c r="R62" s="28">
        <v>8.0</v>
      </c>
      <c r="S62" s="28">
        <v>0.04</v>
      </c>
      <c r="T62" s="28">
        <v>2224759.0</v>
      </c>
      <c r="U62" s="28">
        <v>5226572.0</v>
      </c>
      <c r="V62" s="28">
        <v>21.14</v>
      </c>
      <c r="W62" s="28">
        <v>567.55</v>
      </c>
      <c r="X62" s="28">
        <v>506.38</v>
      </c>
      <c r="Y62" s="28">
        <v>2739.74</v>
      </c>
      <c r="Z62" s="28">
        <v>1553.52</v>
      </c>
      <c r="AA62" s="28">
        <v>966.2</v>
      </c>
      <c r="AB62" s="28">
        <v>54.45</v>
      </c>
      <c r="AC62" s="28">
        <v>454.62</v>
      </c>
      <c r="AD62" s="28">
        <v>5.02</v>
      </c>
      <c r="AE62" s="28">
        <v>5.54</v>
      </c>
      <c r="AF62" s="28">
        <v>74.0</v>
      </c>
      <c r="AG62" s="28">
        <v>0.0</v>
      </c>
      <c r="AH62" s="29">
        <f t="shared" si="7"/>
        <v>1.62537048</v>
      </c>
      <c r="AI62" s="29">
        <f t="shared" si="8"/>
        <v>1.175675676</v>
      </c>
      <c r="AJ62" s="29">
        <f t="shared" si="9"/>
        <v>1.089004305</v>
      </c>
      <c r="AK62" s="29">
        <f t="shared" si="10"/>
        <v>0.1562341933</v>
      </c>
      <c r="AL62" s="29">
        <f t="shared" si="11"/>
        <v>0.08858977276</v>
      </c>
      <c r="AM62" s="29">
        <f t="shared" si="12"/>
        <v>0.05509773832</v>
      </c>
      <c r="AN62" s="29">
        <f t="shared" si="13"/>
        <v>0.244</v>
      </c>
      <c r="AO62" s="29">
        <f t="shared" si="14"/>
        <v>0.667</v>
      </c>
      <c r="AP62" s="29">
        <f t="shared" si="15"/>
        <v>0.09</v>
      </c>
      <c r="AQ62" s="29">
        <f t="shared" si="16"/>
        <v>0.205</v>
      </c>
      <c r="AR62" s="29">
        <f t="shared" si="17"/>
        <v>0.282</v>
      </c>
      <c r="AS62" s="29">
        <f t="shared" si="18"/>
        <v>0.026</v>
      </c>
      <c r="AT62" s="29">
        <f t="shared" si="19"/>
        <v>0.577</v>
      </c>
      <c r="AU62" s="29">
        <f t="shared" si="20"/>
        <v>0.285125</v>
      </c>
      <c r="AV62" s="29">
        <f t="shared" si="21"/>
        <v>0.231</v>
      </c>
      <c r="AW62" s="29">
        <f t="shared" si="22"/>
        <v>0.013</v>
      </c>
      <c r="AX62" s="29">
        <f t="shared" si="23"/>
        <v>0.474</v>
      </c>
      <c r="AY62" s="29">
        <f t="shared" si="24"/>
        <v>0.551</v>
      </c>
      <c r="AZ62" s="29">
        <f t="shared" si="25"/>
        <v>0.577</v>
      </c>
      <c r="BA62" s="29">
        <f t="shared" si="26"/>
        <v>0.3609</v>
      </c>
      <c r="BB62" s="29">
        <f t="shared" si="27"/>
        <v>0.744</v>
      </c>
      <c r="BC62" s="29">
        <f t="shared" si="28"/>
        <v>1</v>
      </c>
      <c r="BD62" s="29">
        <f t="shared" si="29"/>
        <v>0.91</v>
      </c>
      <c r="BE62" s="29">
        <f t="shared" si="30"/>
        <v>0.449</v>
      </c>
      <c r="BF62" s="29">
        <f t="shared" si="31"/>
        <v>1</v>
      </c>
      <c r="BG62" s="29">
        <f t="shared" si="32"/>
        <v>0.821</v>
      </c>
      <c r="BH62" s="29">
        <f t="shared" si="33"/>
        <v>0.75855</v>
      </c>
      <c r="BI62" s="29">
        <f t="shared" si="34"/>
        <v>0.974</v>
      </c>
      <c r="BJ62" s="29">
        <f t="shared" si="35"/>
        <v>0.423</v>
      </c>
      <c r="BK62" s="29">
        <f t="shared" si="36"/>
        <v>0.641</v>
      </c>
      <c r="BL62" s="29">
        <f t="shared" si="37"/>
        <v>0.8769875</v>
      </c>
      <c r="BM62" s="29">
        <f t="shared" si="38"/>
        <v>0.769</v>
      </c>
      <c r="BN62" s="30">
        <f t="shared" si="39"/>
        <v>1</v>
      </c>
      <c r="BO62" s="29">
        <f t="shared" si="40"/>
        <v>0.8845</v>
      </c>
      <c r="BP62" s="29">
        <f t="shared" si="41"/>
        <v>0.872</v>
      </c>
      <c r="BQ62" s="29">
        <f t="shared" si="42"/>
        <v>0.4335</v>
      </c>
      <c r="BR62" s="31" t="str">
        <f t="shared" si="43"/>
        <v>High</v>
      </c>
      <c r="BS62" s="29">
        <f t="shared" si="44"/>
        <v>0.412349375</v>
      </c>
      <c r="BT62" s="31" t="str">
        <f t="shared" si="45"/>
        <v>Y</v>
      </c>
      <c r="BU62" s="31" t="str">
        <f t="shared" si="46"/>
        <v>Y</v>
      </c>
      <c r="BV62" s="31" t="str">
        <f t="shared" si="47"/>
        <v>Y</v>
      </c>
      <c r="BW62" s="31" t="str">
        <f t="shared" si="48"/>
        <v>Y</v>
      </c>
      <c r="BX62" s="31" t="str">
        <f t="shared" si="49"/>
        <v>Y</v>
      </c>
      <c r="BY62" s="30">
        <f t="shared" si="50"/>
        <v>30</v>
      </c>
      <c r="BZ62" s="32" t="str">
        <f t="shared" si="51"/>
        <v/>
      </c>
      <c r="CA62" s="9">
        <f t="shared" ref="CA62:CG62" si="411">IF(ISNUMBER(F62),F62,IFERROR(VALUE(SUBSTITUTE(SUBSTITUTE(SUBSTITUTE(SUBSTITUTE(F62,"(","-"),")",""),",","")," ","")),"" ))</f>
        <v>551.45</v>
      </c>
      <c r="CB62" s="9">
        <f t="shared" si="411"/>
        <v>17536.11</v>
      </c>
      <c r="CC62" s="9">
        <f t="shared" si="411"/>
        <v>27.42</v>
      </c>
      <c r="CD62" s="9">
        <f t="shared" si="411"/>
        <v>16.87</v>
      </c>
      <c r="CE62" s="9">
        <f t="shared" si="411"/>
        <v>2.61</v>
      </c>
      <c r="CF62" s="9">
        <f t="shared" si="411"/>
        <v>2.22</v>
      </c>
      <c r="CG62" s="9">
        <f t="shared" si="411"/>
        <v>18.35</v>
      </c>
      <c r="CH62" s="9">
        <f t="shared" si="53"/>
        <v>54.45</v>
      </c>
      <c r="CI62" s="9">
        <f t="shared" ref="CI62:CK62" si="412">IF(ISNUMBER(M62),M62,IFERROR(VALUE(SUBSTITUTE(SUBSTITUTE(SUBSTITUTE(SUBSTITUTE(SUBSTITUTE(M62,"(","-"),")",""),"%",""),",","")," ","")),"" ))</f>
        <v>14.06</v>
      </c>
      <c r="CJ62" s="9">
        <f t="shared" si="412"/>
        <v>10.87</v>
      </c>
      <c r="CK62" s="9">
        <f t="shared" si="412"/>
        <v>9</v>
      </c>
      <c r="CL62" s="9">
        <f t="shared" si="55"/>
        <v>5</v>
      </c>
      <c r="CM62" s="9">
        <f t="shared" si="56"/>
        <v>4.91</v>
      </c>
      <c r="CN62" s="9">
        <f t="shared" ref="CN62:CO62" si="413">IF(ISNUMBER(R62),R62,IFERROR(VALUE(SUBSTITUTE(SUBSTITUTE(SUBSTITUTE(SUBSTITUTE(R62,"(","-"),")",""),",","")," ","")),"" ))</f>
        <v>8</v>
      </c>
      <c r="CO62" s="9">
        <f t="shared" si="413"/>
        <v>0.04</v>
      </c>
      <c r="CP62" s="9">
        <f t="shared" ref="CP62:CR62" si="414">IF(ISNUMBER(AC62),AC62,IFERROR(VALUE(SUBSTITUTE(SUBSTITUTE(SUBSTITUTE(SUBSTITUTE(AC62,"(","-"),")",""),",","")," ","")),"" ))</f>
        <v>454.62</v>
      </c>
      <c r="CQ62" s="9">
        <f t="shared" si="414"/>
        <v>5.02</v>
      </c>
      <c r="CR62" s="9">
        <f t="shared" si="414"/>
        <v>5.54</v>
      </c>
      <c r="CS62" s="9">
        <f t="shared" ref="CS62:CT62" si="415">IF(ISNUMBER(AF62),AF62,IFERROR(VALUE(SUBSTITUTE(SUBSTITUTE(SUBSTITUTE(SUBSTITUTE(SUBSTITUTE(AF62,"(","-"),")",""),"%",""),",","")," ","")),"" ))</f>
        <v>74</v>
      </c>
      <c r="CT62" s="9">
        <f t="shared" si="415"/>
        <v>0</v>
      </c>
      <c r="CU62" s="9">
        <f t="shared" si="60"/>
        <v>5226572</v>
      </c>
      <c r="CV62" s="9">
        <f t="shared" si="61"/>
        <v>21.14</v>
      </c>
      <c r="CW62" s="9">
        <f t="shared" ref="CW62:DA62" si="416">IF(ISNUMBER(W62),W62,IFERROR(VALUE(SUBSTITUTE(SUBSTITUTE(SUBSTITUTE(SUBSTITUTE(W62,"(","-"),")",""),",","")," ","")),"" ))</f>
        <v>567.55</v>
      </c>
      <c r="CX62" s="9">
        <f t="shared" si="416"/>
        <v>506.38</v>
      </c>
      <c r="CY62" s="9">
        <f t="shared" si="416"/>
        <v>2739.74</v>
      </c>
      <c r="CZ62" s="9">
        <f t="shared" si="416"/>
        <v>1553.52</v>
      </c>
      <c r="DA62" s="9">
        <f t="shared" si="416"/>
        <v>966.2</v>
      </c>
    </row>
    <row r="63" ht="15.75" customHeight="1">
      <c r="A63" s="33">
        <v>62.0</v>
      </c>
      <c r="B63" s="34" t="s">
        <v>101</v>
      </c>
      <c r="C63" s="12" t="s">
        <v>46</v>
      </c>
      <c r="D63" s="13" t="s">
        <v>102</v>
      </c>
      <c r="E63" s="35" t="s">
        <v>103</v>
      </c>
      <c r="F63" s="36">
        <v>220.52</v>
      </c>
      <c r="G63" s="36">
        <v>3683.78</v>
      </c>
      <c r="H63" s="36">
        <v>17.62</v>
      </c>
      <c r="I63" s="36">
        <v>22.72</v>
      </c>
      <c r="J63" s="36">
        <v>2.55</v>
      </c>
      <c r="K63" s="36">
        <v>2.83</v>
      </c>
      <c r="L63" s="36">
        <v>10.09</v>
      </c>
      <c r="M63" s="36">
        <v>14.03</v>
      </c>
      <c r="N63" s="36">
        <v>11.72</v>
      </c>
      <c r="O63" s="36">
        <v>7.79</v>
      </c>
      <c r="P63" s="36">
        <v>4.0</v>
      </c>
      <c r="Q63" s="36">
        <v>7.25</v>
      </c>
      <c r="R63" s="36">
        <v>7.0</v>
      </c>
      <c r="S63" s="36">
        <v>0.16</v>
      </c>
      <c r="T63" s="36">
        <v>480708.0</v>
      </c>
      <c r="U63" s="36">
        <v>612817.0</v>
      </c>
      <c r="V63" s="36">
        <v>0.15</v>
      </c>
      <c r="W63" s="36">
        <v>234.31</v>
      </c>
      <c r="X63" s="36">
        <v>240.78</v>
      </c>
      <c r="Y63" s="36">
        <v>982.52</v>
      </c>
      <c r="Z63" s="36">
        <v>515.96</v>
      </c>
      <c r="AA63" s="36">
        <v>459.66</v>
      </c>
      <c r="AB63" s="36">
        <v>24.04</v>
      </c>
      <c r="AC63" s="36">
        <v>18.93</v>
      </c>
      <c r="AD63" s="36">
        <v>1.17</v>
      </c>
      <c r="AE63" s="36">
        <v>6.3</v>
      </c>
      <c r="AF63" s="36">
        <v>57.11</v>
      </c>
      <c r="AG63" s="36">
        <v>0.0</v>
      </c>
      <c r="AH63" s="38">
        <f t="shared" si="7"/>
        <v>0.775528169</v>
      </c>
      <c r="AI63" s="38">
        <f t="shared" si="8"/>
        <v>0.9010600707</v>
      </c>
      <c r="AJ63" s="38">
        <f t="shared" si="9"/>
        <v>0.9158567987</v>
      </c>
      <c r="AK63" s="38">
        <f t="shared" si="10"/>
        <v>0.2667151676</v>
      </c>
      <c r="AL63" s="38">
        <f t="shared" si="11"/>
        <v>0.140062653</v>
      </c>
      <c r="AM63" s="38">
        <f t="shared" si="12"/>
        <v>0.1247794385</v>
      </c>
      <c r="AN63" s="38">
        <f t="shared" si="13"/>
        <v>0.718</v>
      </c>
      <c r="AO63" s="38">
        <f t="shared" si="14"/>
        <v>0.692</v>
      </c>
      <c r="AP63" s="38">
        <f t="shared" si="15"/>
        <v>0.718</v>
      </c>
      <c r="AQ63" s="38">
        <f t="shared" si="16"/>
        <v>0.615</v>
      </c>
      <c r="AR63" s="38">
        <f t="shared" si="17"/>
        <v>0.577</v>
      </c>
      <c r="AS63" s="38">
        <f t="shared" si="18"/>
        <v>0.615</v>
      </c>
      <c r="AT63" s="38">
        <f t="shared" si="19"/>
        <v>0.756</v>
      </c>
      <c r="AU63" s="38">
        <f t="shared" si="20"/>
        <v>0.672625</v>
      </c>
      <c r="AV63" s="38">
        <f t="shared" si="21"/>
        <v>0.218</v>
      </c>
      <c r="AW63" s="38">
        <f t="shared" si="22"/>
        <v>0.051</v>
      </c>
      <c r="AX63" s="38">
        <f t="shared" si="23"/>
        <v>0.333</v>
      </c>
      <c r="AY63" s="38">
        <f t="shared" si="24"/>
        <v>0.256</v>
      </c>
      <c r="AZ63" s="38">
        <f t="shared" si="25"/>
        <v>0.308</v>
      </c>
      <c r="BA63" s="38">
        <f t="shared" si="26"/>
        <v>0.2236</v>
      </c>
      <c r="BB63" s="38">
        <f t="shared" si="27"/>
        <v>0.564</v>
      </c>
      <c r="BC63" s="38">
        <f t="shared" si="28"/>
        <v>0.603</v>
      </c>
      <c r="BD63" s="38">
        <f t="shared" si="29"/>
        <v>0.423</v>
      </c>
      <c r="BE63" s="38">
        <f t="shared" si="30"/>
        <v>0.551</v>
      </c>
      <c r="BF63" s="38">
        <f t="shared" si="31"/>
        <v>1</v>
      </c>
      <c r="BG63" s="38">
        <f t="shared" si="32"/>
        <v>0.308</v>
      </c>
      <c r="BH63" s="38">
        <f t="shared" si="33"/>
        <v>0.5705</v>
      </c>
      <c r="BI63" s="38">
        <f t="shared" si="34"/>
        <v>0.385</v>
      </c>
      <c r="BJ63" s="38">
        <f t="shared" si="35"/>
        <v>0.244</v>
      </c>
      <c r="BK63" s="38">
        <f t="shared" si="36"/>
        <v>0.038</v>
      </c>
      <c r="BL63" s="38">
        <f t="shared" si="37"/>
        <v>0.650425</v>
      </c>
      <c r="BM63" s="38">
        <f t="shared" si="38"/>
        <v>0.282</v>
      </c>
      <c r="BN63" s="39">
        <f t="shared" si="39"/>
        <v>1</v>
      </c>
      <c r="BO63" s="38">
        <f t="shared" si="40"/>
        <v>0.641</v>
      </c>
      <c r="BP63" s="38">
        <f t="shared" si="41"/>
        <v>0.654</v>
      </c>
      <c r="BQ63" s="38">
        <f t="shared" si="42"/>
        <v>0.5912</v>
      </c>
      <c r="BR63" s="40" t="str">
        <f t="shared" si="43"/>
        <v>High</v>
      </c>
      <c r="BS63" s="38">
        <f t="shared" si="44"/>
        <v>0.44527125</v>
      </c>
      <c r="BT63" s="40" t="str">
        <f t="shared" si="45"/>
        <v>Y</v>
      </c>
      <c r="BU63" s="40" t="str">
        <f t="shared" si="46"/>
        <v>Y</v>
      </c>
      <c r="BV63" s="40" t="str">
        <f t="shared" si="47"/>
        <v>Y</v>
      </c>
      <c r="BW63" s="40" t="str">
        <f t="shared" si="48"/>
        <v>Y</v>
      </c>
      <c r="BX63" s="40" t="str">
        <f t="shared" si="49"/>
        <v>Y</v>
      </c>
      <c r="BY63" s="39">
        <f t="shared" si="50"/>
        <v>23</v>
      </c>
      <c r="BZ63" s="41">
        <f t="shared" si="51"/>
        <v>0.04</v>
      </c>
      <c r="CA63" s="12">
        <f t="shared" ref="CA63:CG63" si="417">IF(ISNUMBER(F63),F63,IFERROR(VALUE(SUBSTITUTE(SUBSTITUTE(SUBSTITUTE(SUBSTITUTE(F63,"(","-"),")",""),",","")," ","")),"" ))</f>
        <v>220.52</v>
      </c>
      <c r="CB63" s="12">
        <f t="shared" si="417"/>
        <v>3683.78</v>
      </c>
      <c r="CC63" s="12">
        <f t="shared" si="417"/>
        <v>17.62</v>
      </c>
      <c r="CD63" s="12">
        <f t="shared" si="417"/>
        <v>22.72</v>
      </c>
      <c r="CE63" s="12">
        <f t="shared" si="417"/>
        <v>2.55</v>
      </c>
      <c r="CF63" s="12">
        <f t="shared" si="417"/>
        <v>2.83</v>
      </c>
      <c r="CG63" s="12">
        <f t="shared" si="417"/>
        <v>10.09</v>
      </c>
      <c r="CH63" s="12">
        <f t="shared" si="53"/>
        <v>24.04</v>
      </c>
      <c r="CI63" s="12">
        <f t="shared" ref="CI63:CK63" si="418">IF(ISNUMBER(M63),M63,IFERROR(VALUE(SUBSTITUTE(SUBSTITUTE(SUBSTITUTE(SUBSTITUTE(SUBSTITUTE(M63,"(","-"),")",""),"%",""),",","")," ","")),"" ))</f>
        <v>14.03</v>
      </c>
      <c r="CJ63" s="12">
        <f t="shared" si="418"/>
        <v>11.72</v>
      </c>
      <c r="CK63" s="12">
        <f t="shared" si="418"/>
        <v>7.79</v>
      </c>
      <c r="CL63" s="12">
        <f t="shared" si="55"/>
        <v>4</v>
      </c>
      <c r="CM63" s="12">
        <f t="shared" si="56"/>
        <v>7.25</v>
      </c>
      <c r="CN63" s="12">
        <f t="shared" ref="CN63:CO63" si="419">IF(ISNUMBER(R63),R63,IFERROR(VALUE(SUBSTITUTE(SUBSTITUTE(SUBSTITUTE(SUBSTITUTE(R63,"(","-"),")",""),",","")," ","")),"" ))</f>
        <v>7</v>
      </c>
      <c r="CO63" s="12">
        <f t="shared" si="419"/>
        <v>0.16</v>
      </c>
      <c r="CP63" s="12">
        <f t="shared" ref="CP63:CR63" si="420">IF(ISNUMBER(AC63),AC63,IFERROR(VALUE(SUBSTITUTE(SUBSTITUTE(SUBSTITUTE(SUBSTITUTE(AC63,"(","-"),")",""),",","")," ","")),"" ))</f>
        <v>18.93</v>
      </c>
      <c r="CQ63" s="12">
        <f t="shared" si="420"/>
        <v>1.17</v>
      </c>
      <c r="CR63" s="12">
        <f t="shared" si="420"/>
        <v>6.3</v>
      </c>
      <c r="CS63" s="12">
        <f t="shared" ref="CS63:CT63" si="421">IF(ISNUMBER(AF63),AF63,IFERROR(VALUE(SUBSTITUTE(SUBSTITUTE(SUBSTITUTE(SUBSTITUTE(SUBSTITUTE(AF63,"(","-"),")",""),"%",""),",","")," ","")),"" ))</f>
        <v>57.11</v>
      </c>
      <c r="CT63" s="12">
        <f t="shared" si="421"/>
        <v>0</v>
      </c>
      <c r="CU63" s="12">
        <f t="shared" si="60"/>
        <v>612817</v>
      </c>
      <c r="CV63" s="12">
        <f t="shared" si="61"/>
        <v>0.15</v>
      </c>
      <c r="CW63" s="12">
        <f t="shared" ref="CW63:DA63" si="422">IF(ISNUMBER(W63),W63,IFERROR(VALUE(SUBSTITUTE(SUBSTITUTE(SUBSTITUTE(SUBSTITUTE(W63,"(","-"),")",""),",","")," ","")),"" ))</f>
        <v>234.31</v>
      </c>
      <c r="CX63" s="12">
        <f t="shared" si="422"/>
        <v>240.78</v>
      </c>
      <c r="CY63" s="12">
        <f t="shared" si="422"/>
        <v>982.52</v>
      </c>
      <c r="CZ63" s="12">
        <f t="shared" si="422"/>
        <v>515.96</v>
      </c>
      <c r="DA63" s="12">
        <f t="shared" si="422"/>
        <v>459.66</v>
      </c>
    </row>
    <row r="64" ht="15.75" customHeight="1">
      <c r="A64" s="25">
        <v>63.0</v>
      </c>
      <c r="B64" s="26" t="s">
        <v>49</v>
      </c>
      <c r="C64" s="9" t="s">
        <v>50</v>
      </c>
      <c r="D64" s="10" t="s">
        <v>51</v>
      </c>
      <c r="E64" s="27" t="s">
        <v>52</v>
      </c>
      <c r="F64" s="28">
        <v>1326.4</v>
      </c>
      <c r="G64" s="28">
        <v>18936.64</v>
      </c>
      <c r="H64" s="28">
        <v>8.37</v>
      </c>
      <c r="I64" s="28">
        <v>11.99</v>
      </c>
      <c r="J64" s="28">
        <v>1.24</v>
      </c>
      <c r="K64" s="28">
        <v>1.5</v>
      </c>
      <c r="L64" s="28">
        <v>4.32</v>
      </c>
      <c r="M64" s="28">
        <v>13.86</v>
      </c>
      <c r="N64" s="28">
        <v>14.09</v>
      </c>
      <c r="O64" s="28">
        <v>10.9</v>
      </c>
      <c r="P64" s="28">
        <v>7.0</v>
      </c>
      <c r="Q64" s="28">
        <v>17.24</v>
      </c>
      <c r="R64" s="28">
        <v>7.0</v>
      </c>
      <c r="S64" s="28">
        <v>0.08</v>
      </c>
      <c r="T64" s="28">
        <v>531545.0</v>
      </c>
      <c r="U64" s="28">
        <v>511454.0</v>
      </c>
      <c r="V64" s="28">
        <v>36.6</v>
      </c>
      <c r="W64" s="28">
        <v>1223.0</v>
      </c>
      <c r="X64" s="28">
        <v>1098.21</v>
      </c>
      <c r="Y64" s="28">
        <v>11286.72</v>
      </c>
      <c r="Z64" s="28">
        <v>9544.85</v>
      </c>
      <c r="AA64" s="28">
        <v>7620.82</v>
      </c>
      <c r="AB64" s="28">
        <v>7.46</v>
      </c>
      <c r="AC64" s="28">
        <v>15.5</v>
      </c>
      <c r="AD64" s="28">
        <v>7.38</v>
      </c>
      <c r="AE64" s="28">
        <v>4.22</v>
      </c>
      <c r="AF64" s="28">
        <v>30.07</v>
      </c>
      <c r="AG64" s="28">
        <v>0.0</v>
      </c>
      <c r="AH64" s="29">
        <f t="shared" si="7"/>
        <v>0.6980817348</v>
      </c>
      <c r="AI64" s="29">
        <f t="shared" si="8"/>
        <v>0.8266666667</v>
      </c>
      <c r="AJ64" s="29">
        <f t="shared" si="9"/>
        <v>1.207783575</v>
      </c>
      <c r="AK64" s="29">
        <f t="shared" si="10"/>
        <v>0.5960254829</v>
      </c>
      <c r="AL64" s="29">
        <f t="shared" si="11"/>
        <v>0.5040413716</v>
      </c>
      <c r="AM64" s="29">
        <f t="shared" si="12"/>
        <v>0.4024378137</v>
      </c>
      <c r="AN64" s="29">
        <f t="shared" si="13"/>
        <v>0.987</v>
      </c>
      <c r="AO64" s="29">
        <f t="shared" si="14"/>
        <v>0.962</v>
      </c>
      <c r="AP64" s="29">
        <f t="shared" si="15"/>
        <v>0.987</v>
      </c>
      <c r="AQ64" s="29">
        <f t="shared" si="16"/>
        <v>0.987</v>
      </c>
      <c r="AR64" s="29">
        <f t="shared" si="17"/>
        <v>0.821</v>
      </c>
      <c r="AS64" s="29">
        <f t="shared" si="18"/>
        <v>0.705</v>
      </c>
      <c r="AT64" s="29">
        <f t="shared" si="19"/>
        <v>0.821</v>
      </c>
      <c r="AU64" s="29">
        <f t="shared" si="20"/>
        <v>0.92475</v>
      </c>
      <c r="AV64" s="29">
        <f t="shared" si="21"/>
        <v>0.205</v>
      </c>
      <c r="AW64" s="29">
        <f t="shared" si="22"/>
        <v>0.308</v>
      </c>
      <c r="AX64" s="29">
        <f t="shared" si="23"/>
        <v>0.615</v>
      </c>
      <c r="AY64" s="29">
        <f t="shared" si="24"/>
        <v>0.256</v>
      </c>
      <c r="AZ64" s="29">
        <f t="shared" si="25"/>
        <v>0.897</v>
      </c>
      <c r="BA64" s="29">
        <f t="shared" si="26"/>
        <v>0.41775</v>
      </c>
      <c r="BB64" s="29">
        <f t="shared" si="27"/>
        <v>0.603</v>
      </c>
      <c r="BC64" s="29">
        <f t="shared" si="28"/>
        <v>0.538</v>
      </c>
      <c r="BD64" s="29">
        <f t="shared" si="29"/>
        <v>0.974</v>
      </c>
      <c r="BE64" s="29">
        <f t="shared" si="30"/>
        <v>0.192</v>
      </c>
      <c r="BF64" s="29">
        <f t="shared" si="31"/>
        <v>1</v>
      </c>
      <c r="BG64" s="29">
        <f t="shared" si="32"/>
        <v>0</v>
      </c>
      <c r="BH64" s="29">
        <f t="shared" si="33"/>
        <v>0.507</v>
      </c>
      <c r="BI64" s="29">
        <f t="shared" si="34"/>
        <v>0.295</v>
      </c>
      <c r="BJ64" s="29">
        <f t="shared" si="35"/>
        <v>0.179</v>
      </c>
      <c r="BK64" s="29">
        <f t="shared" si="36"/>
        <v>0.859</v>
      </c>
      <c r="BL64" s="29">
        <f t="shared" si="37"/>
        <v>0.52675</v>
      </c>
      <c r="BM64" s="29">
        <f t="shared" si="38"/>
        <v>0.859</v>
      </c>
      <c r="BN64" s="30">
        <f t="shared" si="39"/>
        <v>1</v>
      </c>
      <c r="BO64" s="29">
        <f t="shared" si="40"/>
        <v>0.9295</v>
      </c>
      <c r="BP64" s="29">
        <f t="shared" si="41"/>
        <v>0.603</v>
      </c>
      <c r="BQ64" s="29">
        <f t="shared" si="42"/>
        <v>0.5759</v>
      </c>
      <c r="BR64" s="31" t="str">
        <f t="shared" si="43"/>
        <v>High</v>
      </c>
      <c r="BS64" s="29">
        <f t="shared" si="44"/>
        <v>0.5263875</v>
      </c>
      <c r="BT64" s="31" t="str">
        <f t="shared" si="45"/>
        <v>Y</v>
      </c>
      <c r="BU64" s="31" t="str">
        <f t="shared" si="46"/>
        <v>Y</v>
      </c>
      <c r="BV64" s="31" t="str">
        <f t="shared" si="47"/>
        <v>Y</v>
      </c>
      <c r="BW64" s="31" t="str">
        <f t="shared" si="48"/>
        <v>Y</v>
      </c>
      <c r="BX64" s="31" t="str">
        <f t="shared" si="49"/>
        <v>Y</v>
      </c>
      <c r="BY64" s="30">
        <f t="shared" si="50"/>
        <v>17</v>
      </c>
      <c r="BZ64" s="32">
        <f t="shared" si="51"/>
        <v>0.04</v>
      </c>
      <c r="CA64" s="9">
        <f t="shared" ref="CA64:CG64" si="423">IF(ISNUMBER(F64),F64,IFERROR(VALUE(SUBSTITUTE(SUBSTITUTE(SUBSTITUTE(SUBSTITUTE(F64,"(","-"),")",""),",","")," ","")),"" ))</f>
        <v>1326.4</v>
      </c>
      <c r="CB64" s="9">
        <f t="shared" si="423"/>
        <v>18936.64</v>
      </c>
      <c r="CC64" s="9">
        <f t="shared" si="423"/>
        <v>8.37</v>
      </c>
      <c r="CD64" s="9">
        <f t="shared" si="423"/>
        <v>11.99</v>
      </c>
      <c r="CE64" s="9">
        <f t="shared" si="423"/>
        <v>1.24</v>
      </c>
      <c r="CF64" s="9">
        <f t="shared" si="423"/>
        <v>1.5</v>
      </c>
      <c r="CG64" s="9">
        <f t="shared" si="423"/>
        <v>4.32</v>
      </c>
      <c r="CH64" s="9">
        <f t="shared" si="53"/>
        <v>7.46</v>
      </c>
      <c r="CI64" s="9">
        <f t="shared" ref="CI64:CK64" si="424">IF(ISNUMBER(M64),M64,IFERROR(VALUE(SUBSTITUTE(SUBSTITUTE(SUBSTITUTE(SUBSTITUTE(SUBSTITUTE(M64,"(","-"),")",""),"%",""),",","")," ","")),"" ))</f>
        <v>13.86</v>
      </c>
      <c r="CJ64" s="9">
        <f t="shared" si="424"/>
        <v>14.09</v>
      </c>
      <c r="CK64" s="9">
        <f t="shared" si="424"/>
        <v>10.9</v>
      </c>
      <c r="CL64" s="9">
        <f t="shared" si="55"/>
        <v>7</v>
      </c>
      <c r="CM64" s="9">
        <f t="shared" si="56"/>
        <v>17.24</v>
      </c>
      <c r="CN64" s="9">
        <f t="shared" ref="CN64:CO64" si="425">IF(ISNUMBER(R64),R64,IFERROR(VALUE(SUBSTITUTE(SUBSTITUTE(SUBSTITUTE(SUBSTITUTE(R64,"(","-"),")",""),",","")," ","")),"" ))</f>
        <v>7</v>
      </c>
      <c r="CO64" s="9">
        <f t="shared" si="425"/>
        <v>0.08</v>
      </c>
      <c r="CP64" s="9">
        <f t="shared" ref="CP64:CR64" si="426">IF(ISNUMBER(AC64),AC64,IFERROR(VALUE(SUBSTITUTE(SUBSTITUTE(SUBSTITUTE(SUBSTITUTE(AC64,"(","-"),")",""),",","")," ","")),"" ))</f>
        <v>15.5</v>
      </c>
      <c r="CQ64" s="9">
        <f t="shared" si="426"/>
        <v>7.38</v>
      </c>
      <c r="CR64" s="9">
        <f t="shared" si="426"/>
        <v>4.22</v>
      </c>
      <c r="CS64" s="9">
        <f t="shared" ref="CS64:CT64" si="427">IF(ISNUMBER(AF64),AF64,IFERROR(VALUE(SUBSTITUTE(SUBSTITUTE(SUBSTITUTE(SUBSTITUTE(SUBSTITUTE(AF64,"(","-"),")",""),"%",""),",","")," ","")),"" ))</f>
        <v>30.07</v>
      </c>
      <c r="CT64" s="9">
        <f t="shared" si="427"/>
        <v>0</v>
      </c>
      <c r="CU64" s="9">
        <f t="shared" si="60"/>
        <v>511454</v>
      </c>
      <c r="CV64" s="9">
        <f t="shared" si="61"/>
        <v>36.6</v>
      </c>
      <c r="CW64" s="9">
        <f t="shared" ref="CW64:DA64" si="428">IF(ISNUMBER(W64),W64,IFERROR(VALUE(SUBSTITUTE(SUBSTITUTE(SUBSTITUTE(SUBSTITUTE(W64,"(","-"),")",""),",","")," ","")),"" ))</f>
        <v>1223</v>
      </c>
      <c r="CX64" s="9">
        <f t="shared" si="428"/>
        <v>1098.21</v>
      </c>
      <c r="CY64" s="9">
        <f t="shared" si="428"/>
        <v>11286.72</v>
      </c>
      <c r="CZ64" s="9">
        <f t="shared" si="428"/>
        <v>9544.85</v>
      </c>
      <c r="DA64" s="9">
        <f t="shared" si="428"/>
        <v>7620.82</v>
      </c>
    </row>
    <row r="65" ht="15.75" customHeight="1">
      <c r="A65" s="33">
        <v>64.0</v>
      </c>
      <c r="B65" s="34" t="s">
        <v>137</v>
      </c>
      <c r="C65" s="12" t="s">
        <v>46</v>
      </c>
      <c r="D65" s="13" t="s">
        <v>204</v>
      </c>
      <c r="E65" s="35" t="s">
        <v>205</v>
      </c>
      <c r="F65" s="36">
        <v>128.65</v>
      </c>
      <c r="G65" s="36">
        <v>135782.9</v>
      </c>
      <c r="H65" s="36">
        <v>38.52</v>
      </c>
      <c r="I65" s="36">
        <v>27.29</v>
      </c>
      <c r="J65" s="36">
        <v>3.66</v>
      </c>
      <c r="K65" s="36">
        <v>3.26</v>
      </c>
      <c r="L65" s="36">
        <v>12.76</v>
      </c>
      <c r="M65" s="36">
        <v>13.66</v>
      </c>
      <c r="N65" s="36">
        <v>12.16</v>
      </c>
      <c r="O65" s="36">
        <v>4.6</v>
      </c>
      <c r="P65" s="36">
        <v>5.0</v>
      </c>
      <c r="Q65" s="36">
        <v>4.49</v>
      </c>
      <c r="R65" s="36">
        <v>7.0</v>
      </c>
      <c r="S65" s="36">
        <v>0.53</v>
      </c>
      <c r="T65" s="36">
        <v>2.5465459E7</v>
      </c>
      <c r="U65" s="36">
        <v>1.7874152E7</v>
      </c>
      <c r="V65" s="36">
        <v>36.4</v>
      </c>
      <c r="W65" s="36">
        <v>122.7</v>
      </c>
      <c r="X65" s="36">
        <v>111.19</v>
      </c>
      <c r="Y65" s="36">
        <v>26012.1</v>
      </c>
      <c r="Z65" s="36">
        <v>11017.6</v>
      </c>
      <c r="AA65" s="36">
        <v>7872.4</v>
      </c>
      <c r="AB65" s="36">
        <v>51.74</v>
      </c>
      <c r="AC65" s="36">
        <v>4.24</v>
      </c>
      <c r="AD65" s="36">
        <v>0.8</v>
      </c>
      <c r="AE65" s="36">
        <v>4.13</v>
      </c>
      <c r="AF65" s="36">
        <v>48.6</v>
      </c>
      <c r="AG65" s="36">
        <v>2.9</v>
      </c>
      <c r="AH65" s="38">
        <f t="shared" si="7"/>
        <v>1.411506046</v>
      </c>
      <c r="AI65" s="38">
        <f t="shared" si="8"/>
        <v>1.122699387</v>
      </c>
      <c r="AJ65" s="38">
        <f t="shared" si="9"/>
        <v>1.15702851</v>
      </c>
      <c r="AK65" s="38">
        <f t="shared" si="10"/>
        <v>0.1915712509</v>
      </c>
      <c r="AL65" s="38">
        <f t="shared" si="11"/>
        <v>0.08114129246</v>
      </c>
      <c r="AM65" s="38">
        <f t="shared" si="12"/>
        <v>0.05797784552</v>
      </c>
      <c r="AN65" s="38">
        <f t="shared" si="13"/>
        <v>0.038</v>
      </c>
      <c r="AO65" s="38">
        <f t="shared" si="14"/>
        <v>0.474</v>
      </c>
      <c r="AP65" s="38">
        <f t="shared" si="15"/>
        <v>0.436</v>
      </c>
      <c r="AQ65" s="38">
        <f t="shared" si="16"/>
        <v>0.128</v>
      </c>
      <c r="AR65" s="38">
        <f t="shared" si="17"/>
        <v>0.295</v>
      </c>
      <c r="AS65" s="38">
        <f t="shared" si="18"/>
        <v>0.103</v>
      </c>
      <c r="AT65" s="38">
        <f t="shared" si="19"/>
        <v>0.603</v>
      </c>
      <c r="AU65" s="38">
        <f t="shared" si="20"/>
        <v>0.2823</v>
      </c>
      <c r="AV65" s="38">
        <f t="shared" si="21"/>
        <v>0.192</v>
      </c>
      <c r="AW65" s="38">
        <f t="shared" si="22"/>
        <v>0.103</v>
      </c>
      <c r="AX65" s="38">
        <f t="shared" si="23"/>
        <v>0.09</v>
      </c>
      <c r="AY65" s="38">
        <f t="shared" si="24"/>
        <v>0.256</v>
      </c>
      <c r="AZ65" s="38">
        <f t="shared" si="25"/>
        <v>0.577</v>
      </c>
      <c r="BA65" s="38">
        <f t="shared" si="26"/>
        <v>0.257</v>
      </c>
      <c r="BB65" s="38">
        <f t="shared" si="27"/>
        <v>0.282</v>
      </c>
      <c r="BC65" s="38">
        <f t="shared" si="28"/>
        <v>0.205</v>
      </c>
      <c r="BD65" s="38">
        <f t="shared" si="29"/>
        <v>0.218</v>
      </c>
      <c r="BE65" s="38">
        <f t="shared" si="30"/>
        <v>0.179</v>
      </c>
      <c r="BF65" s="38">
        <f t="shared" si="31"/>
        <v>0.013</v>
      </c>
      <c r="BG65" s="38">
        <f t="shared" si="32"/>
        <v>0.103</v>
      </c>
      <c r="BH65" s="38">
        <f t="shared" si="33"/>
        <v>0.1935</v>
      </c>
      <c r="BI65" s="38">
        <f t="shared" si="34"/>
        <v>0.897</v>
      </c>
      <c r="BJ65" s="38">
        <f t="shared" si="35"/>
        <v>0.397</v>
      </c>
      <c r="BK65" s="38">
        <f t="shared" si="36"/>
        <v>0.769</v>
      </c>
      <c r="BL65" s="38">
        <f t="shared" si="37"/>
        <v>0.089625</v>
      </c>
      <c r="BM65" s="38">
        <f t="shared" si="38"/>
        <v>0.846</v>
      </c>
      <c r="BN65" s="39">
        <f t="shared" si="39"/>
        <v>1</v>
      </c>
      <c r="BO65" s="38">
        <f t="shared" si="40"/>
        <v>0.923</v>
      </c>
      <c r="BP65" s="38">
        <f t="shared" si="41"/>
        <v>0.987</v>
      </c>
      <c r="BQ65" s="38">
        <f t="shared" si="42"/>
        <v>0.7219</v>
      </c>
      <c r="BR65" s="40" t="str">
        <f t="shared" si="43"/>
        <v>High</v>
      </c>
      <c r="BS65" s="38">
        <f t="shared" si="44"/>
        <v>0.19048125</v>
      </c>
      <c r="BT65" s="40" t="str">
        <f t="shared" si="45"/>
        <v>Y</v>
      </c>
      <c r="BU65" s="40" t="str">
        <f t="shared" si="46"/>
        <v>Y</v>
      </c>
      <c r="BV65" s="40" t="str">
        <f t="shared" si="47"/>
        <v>Y</v>
      </c>
      <c r="BW65" s="40" t="str">
        <f t="shared" si="48"/>
        <v>Y</v>
      </c>
      <c r="BX65" s="40" t="str">
        <f t="shared" si="49"/>
        <v>Y</v>
      </c>
      <c r="BY65" s="39">
        <f t="shared" si="50"/>
        <v>47</v>
      </c>
      <c r="BZ65" s="41" t="str">
        <f t="shared" si="51"/>
        <v/>
      </c>
      <c r="CA65" s="12">
        <f t="shared" ref="CA65:CG65" si="429">IF(ISNUMBER(F65),F65,IFERROR(VALUE(SUBSTITUTE(SUBSTITUTE(SUBSTITUTE(SUBSTITUTE(F65,"(","-"),")",""),",","")," ","")),"" ))</f>
        <v>128.65</v>
      </c>
      <c r="CB65" s="12">
        <f t="shared" si="429"/>
        <v>135782.9</v>
      </c>
      <c r="CC65" s="12">
        <f t="shared" si="429"/>
        <v>38.52</v>
      </c>
      <c r="CD65" s="12">
        <f t="shared" si="429"/>
        <v>27.29</v>
      </c>
      <c r="CE65" s="12">
        <f t="shared" si="429"/>
        <v>3.66</v>
      </c>
      <c r="CF65" s="12">
        <f t="shared" si="429"/>
        <v>3.26</v>
      </c>
      <c r="CG65" s="12">
        <f t="shared" si="429"/>
        <v>12.76</v>
      </c>
      <c r="CH65" s="12">
        <f t="shared" si="53"/>
        <v>51.74</v>
      </c>
      <c r="CI65" s="12">
        <f t="shared" ref="CI65:CK65" si="430">IF(ISNUMBER(M65),M65,IFERROR(VALUE(SUBSTITUTE(SUBSTITUTE(SUBSTITUTE(SUBSTITUTE(SUBSTITUTE(M65,"(","-"),")",""),"%",""),",","")," ","")),"" ))</f>
        <v>13.66</v>
      </c>
      <c r="CJ65" s="12">
        <f t="shared" si="430"/>
        <v>12.16</v>
      </c>
      <c r="CK65" s="12">
        <f t="shared" si="430"/>
        <v>4.6</v>
      </c>
      <c r="CL65" s="12">
        <f t="shared" si="55"/>
        <v>5</v>
      </c>
      <c r="CM65" s="12">
        <f t="shared" si="56"/>
        <v>4.49</v>
      </c>
      <c r="CN65" s="12">
        <f t="shared" ref="CN65:CO65" si="431">IF(ISNUMBER(R65),R65,IFERROR(VALUE(SUBSTITUTE(SUBSTITUTE(SUBSTITUTE(SUBSTITUTE(R65,"(","-"),")",""),",","")," ","")),"" ))</f>
        <v>7</v>
      </c>
      <c r="CO65" s="12">
        <f t="shared" si="431"/>
        <v>0.53</v>
      </c>
      <c r="CP65" s="12">
        <f t="shared" ref="CP65:CR65" si="432">IF(ISNUMBER(AC65),AC65,IFERROR(VALUE(SUBSTITUTE(SUBSTITUTE(SUBSTITUTE(SUBSTITUTE(AC65,"(","-"),")",""),",","")," ","")),"" ))</f>
        <v>4.24</v>
      </c>
      <c r="CQ65" s="12">
        <f t="shared" si="432"/>
        <v>0.8</v>
      </c>
      <c r="CR65" s="12">
        <f t="shared" si="432"/>
        <v>4.13</v>
      </c>
      <c r="CS65" s="12">
        <f t="shared" ref="CS65:CT65" si="433">IF(ISNUMBER(AF65),AF65,IFERROR(VALUE(SUBSTITUTE(SUBSTITUTE(SUBSTITUTE(SUBSTITUTE(SUBSTITUTE(AF65,"(","-"),")",""),"%",""),",","")," ","")),"" ))</f>
        <v>48.6</v>
      </c>
      <c r="CT65" s="12">
        <f t="shared" si="433"/>
        <v>2.9</v>
      </c>
      <c r="CU65" s="12">
        <f t="shared" si="60"/>
        <v>17874152</v>
      </c>
      <c r="CV65" s="12">
        <f t="shared" si="61"/>
        <v>36.4</v>
      </c>
      <c r="CW65" s="12">
        <f t="shared" ref="CW65:DA65" si="434">IF(ISNUMBER(W65),W65,IFERROR(VALUE(SUBSTITUTE(SUBSTITUTE(SUBSTITUTE(SUBSTITUTE(W65,"(","-"),")",""),",","")," ","")),"" ))</f>
        <v>122.7</v>
      </c>
      <c r="CX65" s="12">
        <f t="shared" si="434"/>
        <v>111.19</v>
      </c>
      <c r="CY65" s="12">
        <f t="shared" si="434"/>
        <v>26012.1</v>
      </c>
      <c r="CZ65" s="12">
        <f t="shared" si="434"/>
        <v>11017.6</v>
      </c>
      <c r="DA65" s="12">
        <f t="shared" si="434"/>
        <v>7872.4</v>
      </c>
    </row>
    <row r="66" ht="15.75" customHeight="1">
      <c r="A66" s="25">
        <v>65.0</v>
      </c>
      <c r="B66" s="26" t="s">
        <v>186</v>
      </c>
      <c r="C66" s="9" t="s">
        <v>55</v>
      </c>
      <c r="D66" s="10" t="s">
        <v>187</v>
      </c>
      <c r="E66" s="27" t="s">
        <v>188</v>
      </c>
      <c r="F66" s="28">
        <v>3397.4</v>
      </c>
      <c r="G66" s="28">
        <v>38009.35</v>
      </c>
      <c r="H66" s="28">
        <v>29.18</v>
      </c>
      <c r="I66" s="28">
        <v>29.18</v>
      </c>
      <c r="J66" s="28">
        <v>3.2</v>
      </c>
      <c r="K66" s="28">
        <v>3.2</v>
      </c>
      <c r="L66" s="28">
        <v>18.23</v>
      </c>
      <c r="M66" s="28">
        <v>13.59</v>
      </c>
      <c r="N66" s="28">
        <v>12.8</v>
      </c>
      <c r="O66" s="28">
        <v>9.92</v>
      </c>
      <c r="P66" s="28">
        <v>3.0</v>
      </c>
      <c r="Q66" s="28">
        <v>4.8</v>
      </c>
      <c r="R66" s="28">
        <v>6.0</v>
      </c>
      <c r="S66" s="28">
        <v>0.01</v>
      </c>
      <c r="T66" s="28">
        <v>73280.0</v>
      </c>
      <c r="U66" s="28">
        <v>154656.0</v>
      </c>
      <c r="V66" s="28">
        <v>-6.49</v>
      </c>
      <c r="W66" s="28">
        <v>3601.69</v>
      </c>
      <c r="X66" s="28">
        <v>3569.87</v>
      </c>
      <c r="Y66" s="28">
        <v>3176.64</v>
      </c>
      <c r="Z66" s="28">
        <v>2181.25</v>
      </c>
      <c r="AA66" s="28">
        <v>1288.21</v>
      </c>
      <c r="AB66" s="28">
        <v>88.53</v>
      </c>
      <c r="AC66" s="28">
        <v>86.4</v>
      </c>
      <c r="AD66" s="28">
        <v>3.18</v>
      </c>
      <c r="AE66" s="28">
        <v>6.87</v>
      </c>
      <c r="AF66" s="28">
        <v>68.04</v>
      </c>
      <c r="AG66" s="28">
        <v>0.0</v>
      </c>
      <c r="AH66" s="29">
        <f t="shared" si="7"/>
        <v>1</v>
      </c>
      <c r="AI66" s="29">
        <f t="shared" si="8"/>
        <v>1</v>
      </c>
      <c r="AJ66" s="29">
        <f t="shared" si="9"/>
        <v>0.9516873163</v>
      </c>
      <c r="AK66" s="29">
        <f t="shared" si="10"/>
        <v>0.08357522557</v>
      </c>
      <c r="AL66" s="29">
        <f t="shared" si="11"/>
        <v>0.05738719552</v>
      </c>
      <c r="AM66" s="29">
        <f t="shared" si="12"/>
        <v>0.03389192396</v>
      </c>
      <c r="AN66" s="29">
        <f t="shared" si="13"/>
        <v>0.179</v>
      </c>
      <c r="AO66" s="29">
        <f t="shared" si="14"/>
        <v>0.603</v>
      </c>
      <c r="AP66" s="29">
        <f t="shared" si="15"/>
        <v>0.115</v>
      </c>
      <c r="AQ66" s="29">
        <f t="shared" si="16"/>
        <v>0.167</v>
      </c>
      <c r="AR66" s="29">
        <f t="shared" si="17"/>
        <v>0.154</v>
      </c>
      <c r="AS66" s="29">
        <f t="shared" si="18"/>
        <v>0.346</v>
      </c>
      <c r="AT66" s="29">
        <f t="shared" si="19"/>
        <v>0.679</v>
      </c>
      <c r="AU66" s="29">
        <f t="shared" si="20"/>
        <v>0.274275</v>
      </c>
      <c r="AV66" s="29">
        <f t="shared" si="21"/>
        <v>0.179</v>
      </c>
      <c r="AW66" s="29">
        <f t="shared" si="22"/>
        <v>0.205</v>
      </c>
      <c r="AX66" s="29">
        <f t="shared" si="23"/>
        <v>0.551</v>
      </c>
      <c r="AY66" s="29">
        <f t="shared" si="24"/>
        <v>0</v>
      </c>
      <c r="AZ66" s="29">
        <f t="shared" si="25"/>
        <v>0.128</v>
      </c>
      <c r="BA66" s="29">
        <f t="shared" si="26"/>
        <v>0.16645</v>
      </c>
      <c r="BB66" s="29">
        <f t="shared" si="27"/>
        <v>0.897</v>
      </c>
      <c r="BC66" s="29">
        <f t="shared" si="28"/>
        <v>0.846</v>
      </c>
      <c r="BD66" s="29">
        <f t="shared" si="29"/>
        <v>0.846</v>
      </c>
      <c r="BE66" s="29">
        <f t="shared" si="30"/>
        <v>0.667</v>
      </c>
      <c r="BF66" s="29">
        <f t="shared" si="31"/>
        <v>1</v>
      </c>
      <c r="BG66" s="29">
        <f t="shared" si="32"/>
        <v>0.615</v>
      </c>
      <c r="BH66" s="29">
        <f t="shared" si="33"/>
        <v>0.80885</v>
      </c>
      <c r="BI66" s="29">
        <f t="shared" si="34"/>
        <v>0.654</v>
      </c>
      <c r="BJ66" s="29">
        <f t="shared" si="35"/>
        <v>0.321</v>
      </c>
      <c r="BK66" s="29">
        <f t="shared" si="36"/>
        <v>0.09</v>
      </c>
      <c r="BL66" s="29">
        <f t="shared" si="37"/>
        <v>0.8174625</v>
      </c>
      <c r="BM66" s="29">
        <f t="shared" si="38"/>
        <v>0.141</v>
      </c>
      <c r="BN66" s="30">
        <f t="shared" si="39"/>
        <v>1</v>
      </c>
      <c r="BO66" s="29">
        <f t="shared" si="40"/>
        <v>0.5705</v>
      </c>
      <c r="BP66" s="29">
        <f t="shared" si="41"/>
        <v>0.333</v>
      </c>
      <c r="BQ66" s="29">
        <f t="shared" si="42"/>
        <v>0.3936</v>
      </c>
      <c r="BR66" s="31" t="str">
        <f t="shared" si="43"/>
        <v>High</v>
      </c>
      <c r="BS66" s="29">
        <f t="shared" si="44"/>
        <v>0.389023125</v>
      </c>
      <c r="BT66" s="31" t="str">
        <f t="shared" si="45"/>
        <v>Y</v>
      </c>
      <c r="BU66" s="31" t="str">
        <f t="shared" si="46"/>
        <v>Y</v>
      </c>
      <c r="BV66" s="31" t="str">
        <f t="shared" si="47"/>
        <v>Y</v>
      </c>
      <c r="BW66" s="31" t="str">
        <f t="shared" si="48"/>
        <v>Y</v>
      </c>
      <c r="BX66" s="31" t="str">
        <f t="shared" si="49"/>
        <v>Y</v>
      </c>
      <c r="BY66" s="30">
        <f t="shared" si="50"/>
        <v>32</v>
      </c>
      <c r="BZ66" s="32" t="str">
        <f t="shared" si="51"/>
        <v/>
      </c>
      <c r="CA66" s="9">
        <f t="shared" ref="CA66:CG66" si="435">IF(ISNUMBER(F66),F66,IFERROR(VALUE(SUBSTITUTE(SUBSTITUTE(SUBSTITUTE(SUBSTITUTE(F66,"(","-"),")",""),",","")," ","")),"" ))</f>
        <v>3397.4</v>
      </c>
      <c r="CB66" s="9">
        <f t="shared" si="435"/>
        <v>38009.35</v>
      </c>
      <c r="CC66" s="9">
        <f t="shared" si="435"/>
        <v>29.18</v>
      </c>
      <c r="CD66" s="9">
        <f t="shared" si="435"/>
        <v>29.18</v>
      </c>
      <c r="CE66" s="9">
        <f t="shared" si="435"/>
        <v>3.2</v>
      </c>
      <c r="CF66" s="9">
        <f t="shared" si="435"/>
        <v>3.2</v>
      </c>
      <c r="CG66" s="9">
        <f t="shared" si="435"/>
        <v>18.23</v>
      </c>
      <c r="CH66" s="9">
        <f t="shared" si="53"/>
        <v>88.53</v>
      </c>
      <c r="CI66" s="9">
        <f t="shared" ref="CI66:CK66" si="436">IF(ISNUMBER(M66),M66,IFERROR(VALUE(SUBSTITUTE(SUBSTITUTE(SUBSTITUTE(SUBSTITUTE(SUBSTITUTE(M66,"(","-"),")",""),"%",""),",","")," ","")),"" ))</f>
        <v>13.59</v>
      </c>
      <c r="CJ66" s="9">
        <f t="shared" si="436"/>
        <v>12.8</v>
      </c>
      <c r="CK66" s="9">
        <f t="shared" si="436"/>
        <v>9.92</v>
      </c>
      <c r="CL66" s="9">
        <f t="shared" si="55"/>
        <v>3</v>
      </c>
      <c r="CM66" s="9">
        <f t="shared" si="56"/>
        <v>4.8</v>
      </c>
      <c r="CN66" s="9">
        <f t="shared" ref="CN66:CO66" si="437">IF(ISNUMBER(R66),R66,IFERROR(VALUE(SUBSTITUTE(SUBSTITUTE(SUBSTITUTE(SUBSTITUTE(R66,"(","-"),")",""),",","")," ","")),"" ))</f>
        <v>6</v>
      </c>
      <c r="CO66" s="9">
        <f t="shared" si="437"/>
        <v>0.01</v>
      </c>
      <c r="CP66" s="9">
        <f t="shared" ref="CP66:CR66" si="438">IF(ISNUMBER(AC66),AC66,IFERROR(VALUE(SUBSTITUTE(SUBSTITUTE(SUBSTITUTE(SUBSTITUTE(AC66,"(","-"),")",""),",","")," ","")),"" ))</f>
        <v>86.4</v>
      </c>
      <c r="CQ66" s="9">
        <f t="shared" si="438"/>
        <v>3.18</v>
      </c>
      <c r="CR66" s="9">
        <f t="shared" si="438"/>
        <v>6.87</v>
      </c>
      <c r="CS66" s="9">
        <f t="shared" ref="CS66:CT66" si="439">IF(ISNUMBER(AF66),AF66,IFERROR(VALUE(SUBSTITUTE(SUBSTITUTE(SUBSTITUTE(SUBSTITUTE(SUBSTITUTE(AF66,"(","-"),")",""),"%",""),",","")," ","")),"" ))</f>
        <v>68.04</v>
      </c>
      <c r="CT66" s="9">
        <f t="shared" si="439"/>
        <v>0</v>
      </c>
      <c r="CU66" s="9">
        <f t="shared" si="60"/>
        <v>154656</v>
      </c>
      <c r="CV66" s="9">
        <f t="shared" si="61"/>
        <v>-6.49</v>
      </c>
      <c r="CW66" s="9">
        <f t="shared" ref="CW66:DA66" si="440">IF(ISNUMBER(W66),W66,IFERROR(VALUE(SUBSTITUTE(SUBSTITUTE(SUBSTITUTE(SUBSTITUTE(W66,"(","-"),")",""),",","")," ","")),"" ))</f>
        <v>3601.69</v>
      </c>
      <c r="CX66" s="9">
        <f t="shared" si="440"/>
        <v>3569.87</v>
      </c>
      <c r="CY66" s="9">
        <f t="shared" si="440"/>
        <v>3176.64</v>
      </c>
      <c r="CZ66" s="9">
        <f t="shared" si="440"/>
        <v>2181.25</v>
      </c>
      <c r="DA66" s="9">
        <f t="shared" si="440"/>
        <v>1288.21</v>
      </c>
    </row>
    <row r="67" ht="15.75" customHeight="1">
      <c r="A67" s="33">
        <v>66.0</v>
      </c>
      <c r="B67" s="34" t="s">
        <v>351</v>
      </c>
      <c r="C67" s="12" t="s">
        <v>315</v>
      </c>
      <c r="D67" s="13" t="s">
        <v>352</v>
      </c>
      <c r="E67" s="35" t="s">
        <v>353</v>
      </c>
      <c r="F67" s="36">
        <v>372.45</v>
      </c>
      <c r="G67" s="36">
        <v>65342.63</v>
      </c>
      <c r="H67" s="36">
        <v>6.79</v>
      </c>
      <c r="I67" s="36">
        <v>34.53</v>
      </c>
      <c r="J67" s="36">
        <v>0.93</v>
      </c>
      <c r="K67" s="36">
        <v>3.62</v>
      </c>
      <c r="L67" s="36">
        <v>3.31</v>
      </c>
      <c r="M67" s="36">
        <v>13.32</v>
      </c>
      <c r="N67" s="36">
        <v>10.99</v>
      </c>
      <c r="O67" s="36">
        <v>3.38</v>
      </c>
      <c r="P67" s="36">
        <v>7.0</v>
      </c>
      <c r="Q67" s="36">
        <v>30.23</v>
      </c>
      <c r="R67" s="36">
        <v>7.0</v>
      </c>
      <c r="S67" s="36">
        <v>0.0</v>
      </c>
      <c r="T67" s="36">
        <v>361647.0</v>
      </c>
      <c r="U67" s="36">
        <v>788106.0</v>
      </c>
      <c r="V67" s="36">
        <v>1.65</v>
      </c>
      <c r="W67" s="36">
        <v>380.15</v>
      </c>
      <c r="X67" s="36">
        <v>382.2</v>
      </c>
      <c r="Y67" s="36">
        <v>35820.9</v>
      </c>
      <c r="Z67" s="36">
        <v>35638.1</v>
      </c>
      <c r="AA67" s="36">
        <v>13323.71</v>
      </c>
      <c r="AB67" s="36">
        <v>14.71</v>
      </c>
      <c r="AC67" s="37"/>
      <c r="AD67" s="36">
        <v>0.49</v>
      </c>
      <c r="AE67" s="36">
        <v>1.08</v>
      </c>
      <c r="AF67" s="36">
        <v>82.4</v>
      </c>
      <c r="AG67" s="36">
        <v>0.0</v>
      </c>
      <c r="AH67" s="38">
        <f t="shared" si="7"/>
        <v>0.1966406024</v>
      </c>
      <c r="AI67" s="38">
        <f t="shared" si="8"/>
        <v>0.2569060773</v>
      </c>
      <c r="AJ67" s="38">
        <f t="shared" si="9"/>
        <v>0.9744897959</v>
      </c>
      <c r="AK67" s="38">
        <f t="shared" si="10"/>
        <v>0.5482010749</v>
      </c>
      <c r="AL67" s="38">
        <f t="shared" si="11"/>
        <v>0.5454035138</v>
      </c>
      <c r="AM67" s="38">
        <f t="shared" si="12"/>
        <v>0.2039053218</v>
      </c>
      <c r="AN67" s="38">
        <f t="shared" si="13"/>
        <v>1</v>
      </c>
      <c r="AO67" s="38">
        <f t="shared" si="14"/>
        <v>0.987</v>
      </c>
      <c r="AP67" s="38">
        <f t="shared" si="15"/>
        <v>1</v>
      </c>
      <c r="AQ67" s="38">
        <f t="shared" si="16"/>
        <v>1</v>
      </c>
      <c r="AR67" s="38">
        <f t="shared" si="17"/>
        <v>0.756</v>
      </c>
      <c r="AS67" s="38">
        <f t="shared" si="18"/>
        <v>1</v>
      </c>
      <c r="AT67" s="38">
        <f t="shared" si="19"/>
        <v>0.987</v>
      </c>
      <c r="AU67" s="38">
        <f t="shared" si="20"/>
        <v>0.960475</v>
      </c>
      <c r="AV67" s="38">
        <f t="shared" si="21"/>
        <v>0.167</v>
      </c>
      <c r="AW67" s="38">
        <f t="shared" si="22"/>
        <v>0.026</v>
      </c>
      <c r="AX67" s="38">
        <f t="shared" si="23"/>
        <v>0.038</v>
      </c>
      <c r="AY67" s="38">
        <f t="shared" si="24"/>
        <v>0.256</v>
      </c>
      <c r="AZ67" s="38">
        <f t="shared" si="25"/>
        <v>0.897</v>
      </c>
      <c r="BA67" s="38">
        <f t="shared" si="26"/>
        <v>0.29415</v>
      </c>
      <c r="BB67" s="38">
        <f t="shared" si="27"/>
        <v>1</v>
      </c>
      <c r="BC67" s="38" t="str">
        <f t="shared" si="28"/>
        <v/>
      </c>
      <c r="BD67" s="38">
        <f t="shared" si="29"/>
        <v>0.051</v>
      </c>
      <c r="BE67" s="38">
        <f t="shared" si="30"/>
        <v>0.013</v>
      </c>
      <c r="BF67" s="38">
        <f t="shared" si="31"/>
        <v>1</v>
      </c>
      <c r="BG67" s="38">
        <f t="shared" si="32"/>
        <v>0.987</v>
      </c>
      <c r="BH67" s="38">
        <f t="shared" si="33"/>
        <v>0.5965294118</v>
      </c>
      <c r="BI67" s="38">
        <f t="shared" si="34"/>
        <v>0</v>
      </c>
      <c r="BJ67" s="38">
        <f t="shared" si="35"/>
        <v>0.013</v>
      </c>
      <c r="BK67" s="38">
        <f t="shared" si="36"/>
        <v>0.154</v>
      </c>
      <c r="BL67" s="38">
        <f t="shared" si="37"/>
        <v>0.8945823529</v>
      </c>
      <c r="BM67" s="38">
        <f t="shared" si="38"/>
        <v>0.346</v>
      </c>
      <c r="BN67" s="39">
        <f t="shared" si="39"/>
        <v>1</v>
      </c>
      <c r="BO67" s="38">
        <f t="shared" si="40"/>
        <v>0.673</v>
      </c>
      <c r="BP67" s="38">
        <f t="shared" si="41"/>
        <v>0.718</v>
      </c>
      <c r="BQ67" s="38">
        <f t="shared" si="42"/>
        <v>0.9771</v>
      </c>
      <c r="BR67" s="40" t="str">
        <f t="shared" si="43"/>
        <v>High</v>
      </c>
      <c r="BS67" s="38">
        <f t="shared" si="44"/>
        <v>0.2792291176</v>
      </c>
      <c r="BT67" s="40" t="str">
        <f t="shared" si="45"/>
        <v>Y</v>
      </c>
      <c r="BU67" s="40" t="str">
        <f t="shared" si="46"/>
        <v>Y</v>
      </c>
      <c r="BV67" s="40" t="str">
        <f t="shared" si="47"/>
        <v>Y</v>
      </c>
      <c r="BW67" s="40" t="str">
        <f t="shared" si="48"/>
        <v>N</v>
      </c>
      <c r="BX67" s="40" t="str">
        <f t="shared" si="49"/>
        <v>N</v>
      </c>
      <c r="BY67" s="39" t="str">
        <f t="shared" si="50"/>
        <v/>
      </c>
      <c r="BZ67" s="41" t="str">
        <f t="shared" si="51"/>
        <v/>
      </c>
      <c r="CA67" s="12">
        <f t="shared" ref="CA67:CG67" si="441">IF(ISNUMBER(F67),F67,IFERROR(VALUE(SUBSTITUTE(SUBSTITUTE(SUBSTITUTE(SUBSTITUTE(F67,"(","-"),")",""),",","")," ","")),"" ))</f>
        <v>372.45</v>
      </c>
      <c r="CB67" s="12">
        <f t="shared" si="441"/>
        <v>65342.63</v>
      </c>
      <c r="CC67" s="12">
        <f t="shared" si="441"/>
        <v>6.79</v>
      </c>
      <c r="CD67" s="12">
        <f t="shared" si="441"/>
        <v>34.53</v>
      </c>
      <c r="CE67" s="12">
        <f t="shared" si="441"/>
        <v>0.93</v>
      </c>
      <c r="CF67" s="12">
        <f t="shared" si="441"/>
        <v>3.62</v>
      </c>
      <c r="CG67" s="12">
        <f t="shared" si="441"/>
        <v>3.31</v>
      </c>
      <c r="CH67" s="12">
        <f t="shared" si="53"/>
        <v>14.71</v>
      </c>
      <c r="CI67" s="12">
        <f t="shared" ref="CI67:CK67" si="442">IF(ISNUMBER(M67),M67,IFERROR(VALUE(SUBSTITUTE(SUBSTITUTE(SUBSTITUTE(SUBSTITUTE(SUBSTITUTE(M67,"(","-"),")",""),"%",""),",","")," ","")),"" ))</f>
        <v>13.32</v>
      </c>
      <c r="CJ67" s="12">
        <f t="shared" si="442"/>
        <v>10.99</v>
      </c>
      <c r="CK67" s="12">
        <f t="shared" si="442"/>
        <v>3.38</v>
      </c>
      <c r="CL67" s="12">
        <f t="shared" si="55"/>
        <v>7</v>
      </c>
      <c r="CM67" s="12">
        <f t="shared" si="56"/>
        <v>30.23</v>
      </c>
      <c r="CN67" s="12">
        <f t="shared" ref="CN67:CO67" si="443">IF(ISNUMBER(R67),R67,IFERROR(VALUE(SUBSTITUTE(SUBSTITUTE(SUBSTITUTE(SUBSTITUTE(R67,"(","-"),")",""),",","")," ","")),"" ))</f>
        <v>7</v>
      </c>
      <c r="CO67" s="12">
        <f t="shared" si="443"/>
        <v>0</v>
      </c>
      <c r="CP67" s="12">
        <f t="shared" ref="CP67:CR67" si="444">IF(ISNUMBER(AC67),AC67,IFERROR(VALUE(SUBSTITUTE(SUBSTITUTE(SUBSTITUTE(SUBSTITUTE(AC67,"(","-"),")",""),",","")," ","")),"" ))</f>
        <v>0</v>
      </c>
      <c r="CQ67" s="12">
        <f t="shared" si="444"/>
        <v>0.49</v>
      </c>
      <c r="CR67" s="12">
        <f t="shared" si="444"/>
        <v>1.08</v>
      </c>
      <c r="CS67" s="12">
        <f t="shared" ref="CS67:CT67" si="445">IF(ISNUMBER(AF67),AF67,IFERROR(VALUE(SUBSTITUTE(SUBSTITUTE(SUBSTITUTE(SUBSTITUTE(SUBSTITUTE(AF67,"(","-"),")",""),"%",""),",","")," ","")),"" ))</f>
        <v>82.4</v>
      </c>
      <c r="CT67" s="12">
        <f t="shared" si="445"/>
        <v>0</v>
      </c>
      <c r="CU67" s="12">
        <f t="shared" si="60"/>
        <v>788106</v>
      </c>
      <c r="CV67" s="12">
        <f t="shared" si="61"/>
        <v>1.65</v>
      </c>
      <c r="CW67" s="12">
        <f t="shared" ref="CW67:DA67" si="446">IF(ISNUMBER(W67),W67,IFERROR(VALUE(SUBSTITUTE(SUBSTITUTE(SUBSTITUTE(SUBSTITUTE(W67,"(","-"),")",""),",","")," ","")),"" ))</f>
        <v>380.15</v>
      </c>
      <c r="CX67" s="12">
        <f t="shared" si="446"/>
        <v>382.2</v>
      </c>
      <c r="CY67" s="12">
        <f t="shared" si="446"/>
        <v>35820.9</v>
      </c>
      <c r="CZ67" s="12">
        <f t="shared" si="446"/>
        <v>35638.1</v>
      </c>
      <c r="DA67" s="12">
        <f t="shared" si="446"/>
        <v>13323.71</v>
      </c>
    </row>
    <row r="68" ht="15.75" customHeight="1">
      <c r="A68" s="25">
        <v>67.0</v>
      </c>
      <c r="B68" s="26" t="s">
        <v>85</v>
      </c>
      <c r="C68" s="9" t="s">
        <v>46</v>
      </c>
      <c r="D68" s="10" t="s">
        <v>86</v>
      </c>
      <c r="E68" s="27" t="s">
        <v>87</v>
      </c>
      <c r="F68" s="28">
        <v>376.7</v>
      </c>
      <c r="G68" s="28">
        <v>2117.81</v>
      </c>
      <c r="H68" s="28">
        <v>12.71</v>
      </c>
      <c r="I68" s="28">
        <v>21.77</v>
      </c>
      <c r="J68" s="28">
        <v>1.55</v>
      </c>
      <c r="K68" s="28">
        <v>1.6</v>
      </c>
      <c r="L68" s="28">
        <v>6.77</v>
      </c>
      <c r="M68" s="28">
        <v>13.19</v>
      </c>
      <c r="N68" s="28">
        <v>14.28</v>
      </c>
      <c r="O68" s="28">
        <v>6.44</v>
      </c>
      <c r="P68" s="28">
        <v>3.0</v>
      </c>
      <c r="Q68" s="28">
        <v>9.88</v>
      </c>
      <c r="R68" s="28">
        <v>9.0</v>
      </c>
      <c r="S68" s="28">
        <v>0.67</v>
      </c>
      <c r="T68" s="28">
        <v>374411.0</v>
      </c>
      <c r="U68" s="28">
        <v>278022.0</v>
      </c>
      <c r="V68" s="28">
        <v>12.84</v>
      </c>
      <c r="W68" s="28">
        <v>343.79</v>
      </c>
      <c r="X68" s="28">
        <v>344.86</v>
      </c>
      <c r="Y68" s="28">
        <v>1250.97</v>
      </c>
      <c r="Z68" s="28">
        <v>272.36</v>
      </c>
      <c r="AA68" s="28">
        <v>-216.31</v>
      </c>
      <c r="AB68" s="28">
        <v>-29.36</v>
      </c>
      <c r="AC68" s="28">
        <v>3.96</v>
      </c>
      <c r="AD68" s="28">
        <v>0.98</v>
      </c>
      <c r="AE68" s="28">
        <v>3.94</v>
      </c>
      <c r="AF68" s="28">
        <v>56.71</v>
      </c>
      <c r="AG68" s="28">
        <v>0.0</v>
      </c>
      <c r="AH68" s="29">
        <f t="shared" si="7"/>
        <v>0.58383096</v>
      </c>
      <c r="AI68" s="29">
        <f t="shared" si="8"/>
        <v>0.96875</v>
      </c>
      <c r="AJ68" s="29">
        <f t="shared" si="9"/>
        <v>1.092327321</v>
      </c>
      <c r="AK68" s="29">
        <f t="shared" si="10"/>
        <v>0.590690383</v>
      </c>
      <c r="AL68" s="29">
        <f t="shared" si="11"/>
        <v>0.128604549</v>
      </c>
      <c r="AM68" s="29">
        <f t="shared" si="12"/>
        <v>-0.1021385299</v>
      </c>
      <c r="AN68" s="29">
        <f t="shared" si="13"/>
        <v>0.872</v>
      </c>
      <c r="AO68" s="29">
        <f t="shared" si="14"/>
        <v>0.936</v>
      </c>
      <c r="AP68" s="29">
        <f t="shared" si="15"/>
        <v>0.936</v>
      </c>
      <c r="AQ68" s="29">
        <f t="shared" si="16"/>
        <v>0.859</v>
      </c>
      <c r="AR68" s="29" t="str">
        <f t="shared" si="17"/>
        <v/>
      </c>
      <c r="AS68" s="29">
        <f t="shared" si="18"/>
        <v>0.859</v>
      </c>
      <c r="AT68" s="29">
        <f t="shared" si="19"/>
        <v>0.705</v>
      </c>
      <c r="AU68" s="29">
        <f t="shared" si="20"/>
        <v>0.8801764706</v>
      </c>
      <c r="AV68" s="29">
        <f t="shared" si="21"/>
        <v>0.154</v>
      </c>
      <c r="AW68" s="29">
        <f t="shared" si="22"/>
        <v>0.333</v>
      </c>
      <c r="AX68" s="29">
        <f t="shared" si="23"/>
        <v>0.218</v>
      </c>
      <c r="AY68" s="29">
        <f t="shared" si="24"/>
        <v>0.897</v>
      </c>
      <c r="AZ68" s="29">
        <f t="shared" si="25"/>
        <v>0.128</v>
      </c>
      <c r="BA68" s="29">
        <f t="shared" si="26"/>
        <v>0.37675</v>
      </c>
      <c r="BB68" s="29">
        <f t="shared" si="27"/>
        <v>0.205</v>
      </c>
      <c r="BC68" s="29">
        <f t="shared" si="28"/>
        <v>0.179</v>
      </c>
      <c r="BD68" s="29">
        <f t="shared" si="29"/>
        <v>0.321</v>
      </c>
      <c r="BE68" s="29">
        <f t="shared" si="30"/>
        <v>0.141</v>
      </c>
      <c r="BF68" s="29">
        <f t="shared" si="31"/>
        <v>1</v>
      </c>
      <c r="BG68" s="29">
        <f t="shared" si="32"/>
        <v>0.295</v>
      </c>
      <c r="BH68" s="29">
        <f t="shared" si="33"/>
        <v>0.2852</v>
      </c>
      <c r="BI68" s="29">
        <f t="shared" si="34"/>
        <v>0.141</v>
      </c>
      <c r="BJ68" s="29">
        <f t="shared" si="35"/>
        <v>0.295</v>
      </c>
      <c r="BK68" s="29">
        <f t="shared" si="36"/>
        <v>0.654</v>
      </c>
      <c r="BL68" s="29">
        <f t="shared" si="37"/>
        <v>0.57455</v>
      </c>
      <c r="BM68" s="29">
        <f t="shared" si="38"/>
        <v>0.603</v>
      </c>
      <c r="BN68" s="30">
        <f t="shared" si="39"/>
        <v>1</v>
      </c>
      <c r="BO68" s="29">
        <f t="shared" si="40"/>
        <v>0.8015</v>
      </c>
      <c r="BP68" s="29">
        <f t="shared" si="41"/>
        <v>0.513</v>
      </c>
      <c r="BQ68" s="29">
        <f t="shared" si="42"/>
        <v>0.8205</v>
      </c>
      <c r="BR68" s="31" t="str">
        <f t="shared" si="43"/>
        <v>High</v>
      </c>
      <c r="BS68" s="29" t="str">
        <f t="shared" si="44"/>
        <v/>
      </c>
      <c r="BT68" s="31" t="str">
        <f t="shared" si="45"/>
        <v>Y</v>
      </c>
      <c r="BU68" s="31" t="str">
        <f t="shared" si="46"/>
        <v>Y</v>
      </c>
      <c r="BV68" s="31" t="str">
        <f t="shared" si="47"/>
        <v>Y</v>
      </c>
      <c r="BW68" s="31" t="str">
        <f t="shared" si="48"/>
        <v>Y</v>
      </c>
      <c r="BX68" s="31" t="str">
        <f t="shared" si="49"/>
        <v>Y</v>
      </c>
      <c r="BY68" s="30">
        <f t="shared" si="50"/>
        <v>1</v>
      </c>
      <c r="BZ68" s="32">
        <f t="shared" si="51"/>
        <v>0.04</v>
      </c>
      <c r="CA68" s="9">
        <f t="shared" ref="CA68:CG68" si="447">IF(ISNUMBER(F68),F68,IFERROR(VALUE(SUBSTITUTE(SUBSTITUTE(SUBSTITUTE(SUBSTITUTE(F68,"(","-"),")",""),",","")," ","")),"" ))</f>
        <v>376.7</v>
      </c>
      <c r="CB68" s="9">
        <f t="shared" si="447"/>
        <v>2117.81</v>
      </c>
      <c r="CC68" s="9">
        <f t="shared" si="447"/>
        <v>12.71</v>
      </c>
      <c r="CD68" s="9">
        <f t="shared" si="447"/>
        <v>21.77</v>
      </c>
      <c r="CE68" s="9">
        <f t="shared" si="447"/>
        <v>1.55</v>
      </c>
      <c r="CF68" s="9">
        <f t="shared" si="447"/>
        <v>1.6</v>
      </c>
      <c r="CG68" s="9">
        <f t="shared" si="447"/>
        <v>6.77</v>
      </c>
      <c r="CH68" s="9">
        <f t="shared" si="53"/>
        <v>-29.36</v>
      </c>
      <c r="CI68" s="9">
        <f t="shared" ref="CI68:CK68" si="448">IF(ISNUMBER(M68),M68,IFERROR(VALUE(SUBSTITUTE(SUBSTITUTE(SUBSTITUTE(SUBSTITUTE(SUBSTITUTE(M68,"(","-"),")",""),"%",""),",","")," ","")),"" ))</f>
        <v>13.19</v>
      </c>
      <c r="CJ68" s="9">
        <f t="shared" si="448"/>
        <v>14.28</v>
      </c>
      <c r="CK68" s="9">
        <f t="shared" si="448"/>
        <v>6.44</v>
      </c>
      <c r="CL68" s="9">
        <f t="shared" si="55"/>
        <v>3</v>
      </c>
      <c r="CM68" s="9">
        <f t="shared" si="56"/>
        <v>9.88</v>
      </c>
      <c r="CN68" s="9">
        <f t="shared" ref="CN68:CO68" si="449">IF(ISNUMBER(R68),R68,IFERROR(VALUE(SUBSTITUTE(SUBSTITUTE(SUBSTITUTE(SUBSTITUTE(R68,"(","-"),")",""),",","")," ","")),"" ))</f>
        <v>9</v>
      </c>
      <c r="CO68" s="9">
        <f t="shared" si="449"/>
        <v>0.67</v>
      </c>
      <c r="CP68" s="9">
        <f t="shared" ref="CP68:CR68" si="450">IF(ISNUMBER(AC68),AC68,IFERROR(VALUE(SUBSTITUTE(SUBSTITUTE(SUBSTITUTE(SUBSTITUTE(AC68,"(","-"),")",""),",","")," ","")),"" ))</f>
        <v>3.96</v>
      </c>
      <c r="CQ68" s="9">
        <f t="shared" si="450"/>
        <v>0.98</v>
      </c>
      <c r="CR68" s="9">
        <f t="shared" si="450"/>
        <v>3.94</v>
      </c>
      <c r="CS68" s="9">
        <f t="shared" ref="CS68:CT68" si="451">IF(ISNUMBER(AF68),AF68,IFERROR(VALUE(SUBSTITUTE(SUBSTITUTE(SUBSTITUTE(SUBSTITUTE(SUBSTITUTE(AF68,"(","-"),")",""),"%",""),",","")," ","")),"" ))</f>
        <v>56.71</v>
      </c>
      <c r="CT68" s="9">
        <f t="shared" si="451"/>
        <v>0</v>
      </c>
      <c r="CU68" s="9">
        <f t="shared" si="60"/>
        <v>278022</v>
      </c>
      <c r="CV68" s="9">
        <f t="shared" si="61"/>
        <v>12.84</v>
      </c>
      <c r="CW68" s="9">
        <f t="shared" ref="CW68:DA68" si="452">IF(ISNUMBER(W68),W68,IFERROR(VALUE(SUBSTITUTE(SUBSTITUTE(SUBSTITUTE(SUBSTITUTE(W68,"(","-"),")",""),",","")," ","")),"" ))</f>
        <v>343.79</v>
      </c>
      <c r="CX68" s="9">
        <f t="shared" si="452"/>
        <v>344.86</v>
      </c>
      <c r="CY68" s="9">
        <f t="shared" si="452"/>
        <v>1250.97</v>
      </c>
      <c r="CZ68" s="9">
        <f t="shared" si="452"/>
        <v>272.36</v>
      </c>
      <c r="DA68" s="9">
        <f t="shared" si="452"/>
        <v>-216.31</v>
      </c>
    </row>
    <row r="69" ht="15.75" customHeight="1">
      <c r="A69" s="33">
        <v>68.0</v>
      </c>
      <c r="B69" s="34" t="s">
        <v>163</v>
      </c>
      <c r="C69" s="12" t="s">
        <v>67</v>
      </c>
      <c r="D69" s="13" t="s">
        <v>164</v>
      </c>
      <c r="E69" s="35" t="s">
        <v>165</v>
      </c>
      <c r="F69" s="36">
        <v>119.01</v>
      </c>
      <c r="G69" s="36">
        <v>52773.79</v>
      </c>
      <c r="H69" s="36">
        <v>28.77</v>
      </c>
      <c r="I69" s="36">
        <v>54.11</v>
      </c>
      <c r="J69" s="36">
        <v>1.16</v>
      </c>
      <c r="K69" s="36">
        <v>1.84</v>
      </c>
      <c r="L69" s="36">
        <v>29.37</v>
      </c>
      <c r="M69" s="36">
        <v>13.17</v>
      </c>
      <c r="N69" s="36">
        <v>13.98</v>
      </c>
      <c r="O69" s="36">
        <v>1.29</v>
      </c>
      <c r="P69" s="36">
        <v>1.0</v>
      </c>
      <c r="Q69" s="36">
        <v>3.4</v>
      </c>
      <c r="R69" s="36">
        <v>6.0</v>
      </c>
      <c r="S69" s="36">
        <v>0.07</v>
      </c>
      <c r="T69" s="36">
        <v>799635.0</v>
      </c>
      <c r="U69" s="36">
        <v>1238291.0</v>
      </c>
      <c r="V69" s="36">
        <v>10.59</v>
      </c>
      <c r="W69" s="36">
        <v>123.3</v>
      </c>
      <c r="X69" s="36">
        <v>116.93</v>
      </c>
      <c r="Y69" s="37"/>
      <c r="Z69" s="37"/>
      <c r="AA69" s="36">
        <v>6453.05</v>
      </c>
      <c r="AB69" s="36">
        <v>24.53</v>
      </c>
      <c r="AC69" s="36">
        <v>32.52</v>
      </c>
      <c r="AD69" s="36">
        <v>2.66</v>
      </c>
      <c r="AE69" s="36">
        <v>3.19</v>
      </c>
      <c r="AF69" s="36">
        <v>78.56</v>
      </c>
      <c r="AG69" s="36">
        <v>0.03</v>
      </c>
      <c r="AH69" s="38">
        <f t="shared" si="7"/>
        <v>0.531694696</v>
      </c>
      <c r="AI69" s="38">
        <f t="shared" si="8"/>
        <v>0.6304347826</v>
      </c>
      <c r="AJ69" s="38">
        <f t="shared" si="9"/>
        <v>1.01778842</v>
      </c>
      <c r="AK69" s="38">
        <f t="shared" si="10"/>
        <v>0</v>
      </c>
      <c r="AL69" s="38">
        <f t="shared" si="11"/>
        <v>0</v>
      </c>
      <c r="AM69" s="38">
        <f t="shared" si="12"/>
        <v>0.1222775548</v>
      </c>
      <c r="AN69" s="38">
        <f t="shared" si="13"/>
        <v>0.192</v>
      </c>
      <c r="AO69" s="38">
        <f t="shared" si="14"/>
        <v>0.974</v>
      </c>
      <c r="AP69" s="38">
        <f t="shared" si="15"/>
        <v>0.013</v>
      </c>
      <c r="AQ69" s="38">
        <f t="shared" si="16"/>
        <v>0.026</v>
      </c>
      <c r="AR69" s="38">
        <f t="shared" si="17"/>
        <v>0.564</v>
      </c>
      <c r="AS69" s="38">
        <f t="shared" si="18"/>
        <v>0.897</v>
      </c>
      <c r="AT69" s="38">
        <f t="shared" si="19"/>
        <v>0.974</v>
      </c>
      <c r="AU69" s="38">
        <f t="shared" si="20"/>
        <v>0.415925</v>
      </c>
      <c r="AV69" s="38">
        <f t="shared" si="21"/>
        <v>0.141</v>
      </c>
      <c r="AW69" s="38">
        <f t="shared" si="22"/>
        <v>0.282</v>
      </c>
      <c r="AX69" s="38">
        <f t="shared" si="23"/>
        <v>0.026</v>
      </c>
      <c r="AY69" s="38">
        <f t="shared" si="24"/>
        <v>0</v>
      </c>
      <c r="AZ69" s="38">
        <f t="shared" si="25"/>
        <v>0</v>
      </c>
      <c r="BA69" s="38">
        <f t="shared" si="26"/>
        <v>0.09425</v>
      </c>
      <c r="BB69" s="38">
        <f t="shared" si="27"/>
        <v>0.628</v>
      </c>
      <c r="BC69" s="38">
        <f t="shared" si="28"/>
        <v>0.679</v>
      </c>
      <c r="BD69" s="38">
        <f t="shared" si="29"/>
        <v>0.782</v>
      </c>
      <c r="BE69" s="38">
        <f t="shared" si="30"/>
        <v>0.09</v>
      </c>
      <c r="BF69" s="38">
        <f t="shared" si="31"/>
        <v>0.064</v>
      </c>
      <c r="BG69" s="38">
        <f t="shared" si="32"/>
        <v>0.974</v>
      </c>
      <c r="BH69" s="38">
        <f t="shared" si="33"/>
        <v>0.49475</v>
      </c>
      <c r="BI69" s="38">
        <f t="shared" si="34"/>
        <v>0.103</v>
      </c>
      <c r="BJ69" s="38">
        <f t="shared" si="35"/>
        <v>0.026</v>
      </c>
      <c r="BK69" s="38">
        <f t="shared" si="36"/>
        <v>0.372</v>
      </c>
      <c r="BL69" s="38">
        <f t="shared" si="37"/>
        <v>0.4901875</v>
      </c>
      <c r="BM69" s="38">
        <f t="shared" si="38"/>
        <v>0.526</v>
      </c>
      <c r="BN69" s="39">
        <f t="shared" si="39"/>
        <v>1</v>
      </c>
      <c r="BO69" s="38">
        <f t="shared" si="40"/>
        <v>0.763</v>
      </c>
      <c r="BP69" s="38">
        <f t="shared" si="41"/>
        <v>0.795</v>
      </c>
      <c r="BQ69" s="38">
        <f t="shared" si="42"/>
        <v>0.9394</v>
      </c>
      <c r="BR69" s="40" t="str">
        <f t="shared" si="43"/>
        <v>High</v>
      </c>
      <c r="BS69" s="38">
        <f t="shared" si="44"/>
        <v>0.254909375</v>
      </c>
      <c r="BT69" s="40" t="str">
        <f t="shared" si="45"/>
        <v>Y</v>
      </c>
      <c r="BU69" s="40" t="str">
        <f t="shared" si="46"/>
        <v>Y</v>
      </c>
      <c r="BV69" s="40" t="str">
        <f t="shared" si="47"/>
        <v>Y</v>
      </c>
      <c r="BW69" s="40" t="str">
        <f t="shared" si="48"/>
        <v>Y</v>
      </c>
      <c r="BX69" s="40" t="str">
        <f t="shared" si="49"/>
        <v>Y</v>
      </c>
      <c r="BY69" s="39">
        <f t="shared" si="50"/>
        <v>43</v>
      </c>
      <c r="BZ69" s="41" t="str">
        <f t="shared" si="51"/>
        <v/>
      </c>
      <c r="CA69" s="12">
        <f t="shared" ref="CA69:CG69" si="453">IF(ISNUMBER(F69),F69,IFERROR(VALUE(SUBSTITUTE(SUBSTITUTE(SUBSTITUTE(SUBSTITUTE(F69,"(","-"),")",""),",","")," ","")),"" ))</f>
        <v>119.01</v>
      </c>
      <c r="CB69" s="12">
        <f t="shared" si="453"/>
        <v>52773.79</v>
      </c>
      <c r="CC69" s="12">
        <f t="shared" si="453"/>
        <v>28.77</v>
      </c>
      <c r="CD69" s="12">
        <f t="shared" si="453"/>
        <v>54.11</v>
      </c>
      <c r="CE69" s="12">
        <f t="shared" si="453"/>
        <v>1.16</v>
      </c>
      <c r="CF69" s="12">
        <f t="shared" si="453"/>
        <v>1.84</v>
      </c>
      <c r="CG69" s="12">
        <f t="shared" si="453"/>
        <v>29.37</v>
      </c>
      <c r="CH69" s="12">
        <f t="shared" si="53"/>
        <v>24.53</v>
      </c>
      <c r="CI69" s="12">
        <f t="shared" ref="CI69:CK69" si="454">IF(ISNUMBER(M69),M69,IFERROR(VALUE(SUBSTITUTE(SUBSTITUTE(SUBSTITUTE(SUBSTITUTE(SUBSTITUTE(M69,"(","-"),")",""),"%",""),",","")," ","")),"" ))</f>
        <v>13.17</v>
      </c>
      <c r="CJ69" s="12">
        <f t="shared" si="454"/>
        <v>13.98</v>
      </c>
      <c r="CK69" s="12">
        <f t="shared" si="454"/>
        <v>1.29</v>
      </c>
      <c r="CL69" s="12">
        <f t="shared" si="55"/>
        <v>1</v>
      </c>
      <c r="CM69" s="12">
        <f t="shared" si="56"/>
        <v>3.4</v>
      </c>
      <c r="CN69" s="12">
        <f t="shared" ref="CN69:CO69" si="455">IF(ISNUMBER(R69),R69,IFERROR(VALUE(SUBSTITUTE(SUBSTITUTE(SUBSTITUTE(SUBSTITUTE(R69,"(","-"),")",""),",","")," ","")),"" ))</f>
        <v>6</v>
      </c>
      <c r="CO69" s="12">
        <f t="shared" si="455"/>
        <v>0.07</v>
      </c>
      <c r="CP69" s="12">
        <f t="shared" ref="CP69:CR69" si="456">IF(ISNUMBER(AC69),AC69,IFERROR(VALUE(SUBSTITUTE(SUBSTITUTE(SUBSTITUTE(SUBSTITUTE(AC69,"(","-"),")",""),",","")," ","")),"" ))</f>
        <v>32.52</v>
      </c>
      <c r="CQ69" s="12">
        <f t="shared" si="456"/>
        <v>2.66</v>
      </c>
      <c r="CR69" s="12">
        <f t="shared" si="456"/>
        <v>3.19</v>
      </c>
      <c r="CS69" s="12">
        <f t="shared" ref="CS69:CT69" si="457">IF(ISNUMBER(AF69),AF69,IFERROR(VALUE(SUBSTITUTE(SUBSTITUTE(SUBSTITUTE(SUBSTITUTE(SUBSTITUTE(AF69,"(","-"),")",""),"%",""),",","")," ","")),"" ))</f>
        <v>78.56</v>
      </c>
      <c r="CT69" s="12">
        <f t="shared" si="457"/>
        <v>0.03</v>
      </c>
      <c r="CU69" s="12">
        <f t="shared" si="60"/>
        <v>1238291</v>
      </c>
      <c r="CV69" s="12">
        <f t="shared" si="61"/>
        <v>10.59</v>
      </c>
      <c r="CW69" s="12">
        <f t="shared" ref="CW69:DA69" si="458">IF(ISNUMBER(W69),W69,IFERROR(VALUE(SUBSTITUTE(SUBSTITUTE(SUBSTITUTE(SUBSTITUTE(W69,"(","-"),")",""),",","")," ","")),"" ))</f>
        <v>123.3</v>
      </c>
      <c r="CX69" s="12">
        <f t="shared" si="458"/>
        <v>116.93</v>
      </c>
      <c r="CY69" s="12">
        <f t="shared" si="458"/>
        <v>0</v>
      </c>
      <c r="CZ69" s="12">
        <f t="shared" si="458"/>
        <v>0</v>
      </c>
      <c r="DA69" s="12">
        <f t="shared" si="458"/>
        <v>6453.05</v>
      </c>
    </row>
    <row r="70" ht="15.75" customHeight="1">
      <c r="A70" s="25">
        <v>69.0</v>
      </c>
      <c r="B70" s="26" t="s">
        <v>94</v>
      </c>
      <c r="C70" s="9" t="s">
        <v>95</v>
      </c>
      <c r="D70" s="10" t="s">
        <v>96</v>
      </c>
      <c r="E70" s="27" t="s">
        <v>97</v>
      </c>
      <c r="F70" s="28">
        <v>163.78</v>
      </c>
      <c r="G70" s="28">
        <v>862.47</v>
      </c>
      <c r="H70" s="28">
        <v>11.14</v>
      </c>
      <c r="I70" s="28">
        <v>11.14</v>
      </c>
      <c r="J70" s="28">
        <v>2.55</v>
      </c>
      <c r="K70" s="28">
        <v>1.49</v>
      </c>
      <c r="L70" s="28">
        <v>6.77</v>
      </c>
      <c r="M70" s="28">
        <v>13.07</v>
      </c>
      <c r="N70" s="28">
        <v>11.8</v>
      </c>
      <c r="O70" s="28">
        <v>7.11</v>
      </c>
      <c r="P70" s="28">
        <v>7.0</v>
      </c>
      <c r="Q70" s="28">
        <v>13.03</v>
      </c>
      <c r="R70" s="28">
        <v>6.0</v>
      </c>
      <c r="S70" s="28">
        <v>0.51</v>
      </c>
      <c r="T70" s="28">
        <v>230174.0</v>
      </c>
      <c r="U70" s="28">
        <v>141278.0</v>
      </c>
      <c r="V70" s="28">
        <v>-9.2</v>
      </c>
      <c r="W70" s="28">
        <v>184.59</v>
      </c>
      <c r="X70" s="28">
        <v>171.25</v>
      </c>
      <c r="Y70" s="28">
        <v>262.04</v>
      </c>
      <c r="Z70" s="28">
        <v>127.62</v>
      </c>
      <c r="AA70" s="28">
        <v>111.9</v>
      </c>
      <c r="AB70" s="28">
        <v>23.14</v>
      </c>
      <c r="AC70" s="28">
        <v>8.82</v>
      </c>
      <c r="AD70" s="28">
        <v>1.49</v>
      </c>
      <c r="AE70" s="28">
        <v>5.49</v>
      </c>
      <c r="AF70" s="28">
        <v>57.43</v>
      </c>
      <c r="AG70" s="28">
        <v>0.0</v>
      </c>
      <c r="AH70" s="29">
        <f t="shared" si="7"/>
        <v>1</v>
      </c>
      <c r="AI70" s="29">
        <f t="shared" si="8"/>
        <v>1.711409396</v>
      </c>
      <c r="AJ70" s="29">
        <f t="shared" si="9"/>
        <v>0.956379562</v>
      </c>
      <c r="AK70" s="29">
        <f t="shared" si="10"/>
        <v>0.3038250606</v>
      </c>
      <c r="AL70" s="29">
        <f t="shared" si="11"/>
        <v>0.1479703642</v>
      </c>
      <c r="AM70" s="29">
        <f t="shared" si="12"/>
        <v>0.1297436433</v>
      </c>
      <c r="AN70" s="29">
        <f t="shared" si="13"/>
        <v>0.923</v>
      </c>
      <c r="AO70" s="29">
        <f t="shared" si="14"/>
        <v>0.692</v>
      </c>
      <c r="AP70" s="29">
        <f t="shared" si="15"/>
        <v>0.936</v>
      </c>
      <c r="AQ70" s="29">
        <f t="shared" si="16"/>
        <v>0.949</v>
      </c>
      <c r="AR70" s="29">
        <f t="shared" si="17"/>
        <v>0.667</v>
      </c>
      <c r="AS70" s="29">
        <f t="shared" si="18"/>
        <v>0.346</v>
      </c>
      <c r="AT70" s="29">
        <f t="shared" si="19"/>
        <v>0.269</v>
      </c>
      <c r="AU70" s="29">
        <f t="shared" si="20"/>
        <v>0.764125</v>
      </c>
      <c r="AV70" s="29">
        <f t="shared" si="21"/>
        <v>0.128</v>
      </c>
      <c r="AW70" s="29">
        <f t="shared" si="22"/>
        <v>0.077</v>
      </c>
      <c r="AX70" s="29">
        <f t="shared" si="23"/>
        <v>0.282</v>
      </c>
      <c r="AY70" s="29">
        <f t="shared" si="24"/>
        <v>0</v>
      </c>
      <c r="AZ70" s="29">
        <f t="shared" si="25"/>
        <v>0.897</v>
      </c>
      <c r="BA70" s="29">
        <f t="shared" si="26"/>
        <v>0.255</v>
      </c>
      <c r="BB70" s="29">
        <f t="shared" si="27"/>
        <v>0.295</v>
      </c>
      <c r="BC70" s="29">
        <f t="shared" si="28"/>
        <v>0.462</v>
      </c>
      <c r="BD70" s="29">
        <f t="shared" si="29"/>
        <v>0.538</v>
      </c>
      <c r="BE70" s="29">
        <f t="shared" si="30"/>
        <v>0.423</v>
      </c>
      <c r="BF70" s="29">
        <f t="shared" si="31"/>
        <v>1</v>
      </c>
      <c r="BG70" s="29">
        <f t="shared" si="32"/>
        <v>0.321</v>
      </c>
      <c r="BH70" s="29">
        <f t="shared" si="33"/>
        <v>0.44945</v>
      </c>
      <c r="BI70" s="29">
        <f t="shared" si="34"/>
        <v>0.654</v>
      </c>
      <c r="BJ70" s="29">
        <f t="shared" si="35"/>
        <v>0.731</v>
      </c>
      <c r="BK70" s="29">
        <f t="shared" si="36"/>
        <v>0.115</v>
      </c>
      <c r="BL70" s="29">
        <f t="shared" si="37"/>
        <v>0.6247125</v>
      </c>
      <c r="BM70" s="29">
        <f t="shared" si="38"/>
        <v>0.064</v>
      </c>
      <c r="BN70" s="30">
        <f t="shared" si="39"/>
        <v>1</v>
      </c>
      <c r="BO70" s="29">
        <f t="shared" si="40"/>
        <v>0.532</v>
      </c>
      <c r="BP70" s="29">
        <f t="shared" si="41"/>
        <v>0.282</v>
      </c>
      <c r="BQ70" s="29">
        <f t="shared" si="42"/>
        <v>0.6013</v>
      </c>
      <c r="BR70" s="31" t="str">
        <f t="shared" si="43"/>
        <v>High</v>
      </c>
      <c r="BS70" s="29">
        <f t="shared" si="44"/>
        <v>0.468535625</v>
      </c>
      <c r="BT70" s="31" t="str">
        <f t="shared" si="45"/>
        <v>Y</v>
      </c>
      <c r="BU70" s="31" t="str">
        <f t="shared" si="46"/>
        <v>Y</v>
      </c>
      <c r="BV70" s="31" t="str">
        <f t="shared" si="47"/>
        <v>Y</v>
      </c>
      <c r="BW70" s="31" t="str">
        <f t="shared" si="48"/>
        <v>Y</v>
      </c>
      <c r="BX70" s="31" t="str">
        <f t="shared" si="49"/>
        <v>Y</v>
      </c>
      <c r="BY70" s="30">
        <f t="shared" si="50"/>
        <v>21</v>
      </c>
      <c r="BZ70" s="32">
        <f t="shared" si="51"/>
        <v>0.04</v>
      </c>
      <c r="CA70" s="9">
        <f t="shared" ref="CA70:CG70" si="459">IF(ISNUMBER(F70),F70,IFERROR(VALUE(SUBSTITUTE(SUBSTITUTE(SUBSTITUTE(SUBSTITUTE(F70,"(","-"),")",""),",","")," ","")),"" ))</f>
        <v>163.78</v>
      </c>
      <c r="CB70" s="9">
        <f t="shared" si="459"/>
        <v>862.47</v>
      </c>
      <c r="CC70" s="9">
        <f t="shared" si="459"/>
        <v>11.14</v>
      </c>
      <c r="CD70" s="9">
        <f t="shared" si="459"/>
        <v>11.14</v>
      </c>
      <c r="CE70" s="9">
        <f t="shared" si="459"/>
        <v>2.55</v>
      </c>
      <c r="CF70" s="9">
        <f t="shared" si="459"/>
        <v>1.49</v>
      </c>
      <c r="CG70" s="9">
        <f t="shared" si="459"/>
        <v>6.77</v>
      </c>
      <c r="CH70" s="9">
        <f t="shared" si="53"/>
        <v>23.14</v>
      </c>
      <c r="CI70" s="9">
        <f t="shared" ref="CI70:CK70" si="460">IF(ISNUMBER(M70),M70,IFERROR(VALUE(SUBSTITUTE(SUBSTITUTE(SUBSTITUTE(SUBSTITUTE(SUBSTITUTE(M70,"(","-"),")",""),"%",""),",","")," ","")),"" ))</f>
        <v>13.07</v>
      </c>
      <c r="CJ70" s="9">
        <f t="shared" si="460"/>
        <v>11.8</v>
      </c>
      <c r="CK70" s="9">
        <f t="shared" si="460"/>
        <v>7.11</v>
      </c>
      <c r="CL70" s="9">
        <f t="shared" si="55"/>
        <v>7</v>
      </c>
      <c r="CM70" s="9">
        <f t="shared" si="56"/>
        <v>13.03</v>
      </c>
      <c r="CN70" s="9">
        <f t="shared" ref="CN70:CO70" si="461">IF(ISNUMBER(R70),R70,IFERROR(VALUE(SUBSTITUTE(SUBSTITUTE(SUBSTITUTE(SUBSTITUTE(R70,"(","-"),")",""),",","")," ","")),"" ))</f>
        <v>6</v>
      </c>
      <c r="CO70" s="9">
        <f t="shared" si="461"/>
        <v>0.51</v>
      </c>
      <c r="CP70" s="9">
        <f t="shared" ref="CP70:CR70" si="462">IF(ISNUMBER(AC70),AC70,IFERROR(VALUE(SUBSTITUTE(SUBSTITUTE(SUBSTITUTE(SUBSTITUTE(AC70,"(","-"),")",""),",","")," ","")),"" ))</f>
        <v>8.82</v>
      </c>
      <c r="CQ70" s="9">
        <f t="shared" si="462"/>
        <v>1.49</v>
      </c>
      <c r="CR70" s="9">
        <f t="shared" si="462"/>
        <v>5.49</v>
      </c>
      <c r="CS70" s="9">
        <f t="shared" ref="CS70:CT70" si="463">IF(ISNUMBER(AF70),AF70,IFERROR(VALUE(SUBSTITUTE(SUBSTITUTE(SUBSTITUTE(SUBSTITUTE(SUBSTITUTE(AF70,"(","-"),")",""),"%",""),",","")," ","")),"" ))</f>
        <v>57.43</v>
      </c>
      <c r="CT70" s="9">
        <f t="shared" si="463"/>
        <v>0</v>
      </c>
      <c r="CU70" s="9">
        <f t="shared" si="60"/>
        <v>141278</v>
      </c>
      <c r="CV70" s="9">
        <f t="shared" si="61"/>
        <v>-9.2</v>
      </c>
      <c r="CW70" s="9">
        <f t="shared" ref="CW70:DA70" si="464">IF(ISNUMBER(W70),W70,IFERROR(VALUE(SUBSTITUTE(SUBSTITUTE(SUBSTITUTE(SUBSTITUTE(W70,"(","-"),")",""),",","")," ","")),"" ))</f>
        <v>184.59</v>
      </c>
      <c r="CX70" s="9">
        <f t="shared" si="464"/>
        <v>171.25</v>
      </c>
      <c r="CY70" s="9">
        <f t="shared" si="464"/>
        <v>262.04</v>
      </c>
      <c r="CZ70" s="9">
        <f t="shared" si="464"/>
        <v>127.62</v>
      </c>
      <c r="DA70" s="9">
        <f t="shared" si="464"/>
        <v>111.9</v>
      </c>
    </row>
    <row r="71" ht="15.75" customHeight="1">
      <c r="A71" s="33">
        <v>70.0</v>
      </c>
      <c r="B71" s="34" t="s">
        <v>354</v>
      </c>
      <c r="C71" s="12" t="s">
        <v>38</v>
      </c>
      <c r="D71" s="13" t="s">
        <v>355</v>
      </c>
      <c r="E71" s="35" t="s">
        <v>356</v>
      </c>
      <c r="F71" s="36">
        <v>6531.0</v>
      </c>
      <c r="G71" s="36">
        <v>19228.41</v>
      </c>
      <c r="H71" s="36">
        <v>32.36</v>
      </c>
      <c r="I71" s="36">
        <v>26.83</v>
      </c>
      <c r="J71" s="36">
        <v>3.25</v>
      </c>
      <c r="K71" s="36">
        <v>2.59</v>
      </c>
      <c r="L71" s="36">
        <v>16.94</v>
      </c>
      <c r="M71" s="36">
        <v>12.81</v>
      </c>
      <c r="N71" s="36">
        <v>9.1</v>
      </c>
      <c r="O71" s="36">
        <v>7.48</v>
      </c>
      <c r="P71" s="36">
        <v>2.0</v>
      </c>
      <c r="Q71" s="36">
        <v>4.22</v>
      </c>
      <c r="R71" s="36">
        <v>9.0</v>
      </c>
      <c r="S71" s="36">
        <v>0.03</v>
      </c>
      <c r="T71" s="36">
        <v>16047.0</v>
      </c>
      <c r="U71" s="36">
        <v>54141.0</v>
      </c>
      <c r="V71" s="36">
        <v>2.08</v>
      </c>
      <c r="W71" s="36">
        <v>6302.03</v>
      </c>
      <c r="X71" s="36">
        <v>6311.09</v>
      </c>
      <c r="Y71" s="36">
        <v>2926.68</v>
      </c>
      <c r="Z71" s="36">
        <v>368.53</v>
      </c>
      <c r="AA71" s="36">
        <v>331.19</v>
      </c>
      <c r="AB71" s="36">
        <v>173.93</v>
      </c>
      <c r="AC71" s="36">
        <v>44.01</v>
      </c>
      <c r="AD71" s="36">
        <v>2.59</v>
      </c>
      <c r="AE71" s="36">
        <v>6.79</v>
      </c>
      <c r="AF71" s="36">
        <v>45.22</v>
      </c>
      <c r="AG71" s="36">
        <v>0.98</v>
      </c>
      <c r="AH71" s="38">
        <f t="shared" si="7"/>
        <v>1.206112561</v>
      </c>
      <c r="AI71" s="38">
        <f t="shared" si="8"/>
        <v>1.254826255</v>
      </c>
      <c r="AJ71" s="38">
        <f t="shared" si="9"/>
        <v>1.034845011</v>
      </c>
      <c r="AK71" s="38">
        <f t="shared" si="10"/>
        <v>0.1522060326</v>
      </c>
      <c r="AL71" s="38">
        <f t="shared" si="11"/>
        <v>0.01916591127</v>
      </c>
      <c r="AM71" s="38">
        <f t="shared" si="12"/>
        <v>0.01722399304</v>
      </c>
      <c r="AN71" s="38">
        <f t="shared" si="13"/>
        <v>0.115</v>
      </c>
      <c r="AO71" s="38">
        <f t="shared" si="14"/>
        <v>0.577</v>
      </c>
      <c r="AP71" s="38">
        <f t="shared" si="15"/>
        <v>0.154</v>
      </c>
      <c r="AQ71" s="38">
        <f t="shared" si="16"/>
        <v>0.064</v>
      </c>
      <c r="AR71" s="38">
        <f t="shared" si="17"/>
        <v>0.064</v>
      </c>
      <c r="AS71" s="38">
        <f t="shared" si="18"/>
        <v>0.167</v>
      </c>
      <c r="AT71" s="38">
        <f t="shared" si="19"/>
        <v>0.487</v>
      </c>
      <c r="AU71" s="38">
        <f t="shared" si="20"/>
        <v>0.2086</v>
      </c>
      <c r="AV71" s="38">
        <f t="shared" si="21"/>
        <v>0.115</v>
      </c>
      <c r="AW71" s="38">
        <f t="shared" si="22"/>
        <v>0</v>
      </c>
      <c r="AX71" s="38">
        <f t="shared" si="23"/>
        <v>0.321</v>
      </c>
      <c r="AY71" s="38">
        <f t="shared" si="24"/>
        <v>0.897</v>
      </c>
      <c r="AZ71" s="38">
        <f t="shared" si="25"/>
        <v>0.026</v>
      </c>
      <c r="BA71" s="38">
        <f t="shared" si="26"/>
        <v>0.2903</v>
      </c>
      <c r="BB71" s="38">
        <f t="shared" si="27"/>
        <v>0.795</v>
      </c>
      <c r="BC71" s="38">
        <f t="shared" si="28"/>
        <v>0.718</v>
      </c>
      <c r="BD71" s="38">
        <f t="shared" si="29"/>
        <v>0.769</v>
      </c>
      <c r="BE71" s="38">
        <f t="shared" si="30"/>
        <v>0.654</v>
      </c>
      <c r="BF71" s="38">
        <f t="shared" si="31"/>
        <v>0.038</v>
      </c>
      <c r="BG71" s="38">
        <f t="shared" si="32"/>
        <v>0.077</v>
      </c>
      <c r="BH71" s="38">
        <f t="shared" si="33"/>
        <v>0.5981</v>
      </c>
      <c r="BI71" s="38">
        <f t="shared" si="34"/>
        <v>0.833</v>
      </c>
      <c r="BJ71" s="38">
        <f t="shared" si="35"/>
        <v>0.513</v>
      </c>
      <c r="BK71" s="38">
        <f t="shared" si="36"/>
        <v>0.423</v>
      </c>
      <c r="BL71" s="38">
        <f t="shared" si="37"/>
        <v>0.191675</v>
      </c>
      <c r="BM71" s="38">
        <f t="shared" si="38"/>
        <v>0.385</v>
      </c>
      <c r="BN71" s="39">
        <f t="shared" si="39"/>
        <v>1</v>
      </c>
      <c r="BO71" s="38">
        <f t="shared" si="40"/>
        <v>0.6925</v>
      </c>
      <c r="BP71" s="38">
        <f t="shared" si="41"/>
        <v>0.192</v>
      </c>
      <c r="BQ71" s="38">
        <f t="shared" si="42"/>
        <v>0.4767</v>
      </c>
      <c r="BR71" s="40" t="str">
        <f t="shared" si="43"/>
        <v>High</v>
      </c>
      <c r="BS71" s="38">
        <f t="shared" si="44"/>
        <v>0.27953375</v>
      </c>
      <c r="BT71" s="40" t="str">
        <f t="shared" si="45"/>
        <v>N</v>
      </c>
      <c r="BU71" s="40" t="str">
        <f t="shared" si="46"/>
        <v>Y</v>
      </c>
      <c r="BV71" s="40" t="str">
        <f t="shared" si="47"/>
        <v>Y</v>
      </c>
      <c r="BW71" s="40" t="str">
        <f t="shared" si="48"/>
        <v>Y</v>
      </c>
      <c r="BX71" s="40" t="str">
        <f t="shared" si="49"/>
        <v>N</v>
      </c>
      <c r="BY71" s="39" t="str">
        <f t="shared" si="50"/>
        <v/>
      </c>
      <c r="BZ71" s="41" t="str">
        <f t="shared" si="51"/>
        <v/>
      </c>
      <c r="CA71" s="12">
        <f t="shared" ref="CA71:CG71" si="465">IF(ISNUMBER(F71),F71,IFERROR(VALUE(SUBSTITUTE(SUBSTITUTE(SUBSTITUTE(SUBSTITUTE(F71,"(","-"),")",""),",","")," ","")),"" ))</f>
        <v>6531</v>
      </c>
      <c r="CB71" s="12">
        <f t="shared" si="465"/>
        <v>19228.41</v>
      </c>
      <c r="CC71" s="12">
        <f t="shared" si="465"/>
        <v>32.36</v>
      </c>
      <c r="CD71" s="12">
        <f t="shared" si="465"/>
        <v>26.83</v>
      </c>
      <c r="CE71" s="12">
        <f t="shared" si="465"/>
        <v>3.25</v>
      </c>
      <c r="CF71" s="12">
        <f t="shared" si="465"/>
        <v>2.59</v>
      </c>
      <c r="CG71" s="12">
        <f t="shared" si="465"/>
        <v>16.94</v>
      </c>
      <c r="CH71" s="12">
        <f t="shared" si="53"/>
        <v>173.93</v>
      </c>
      <c r="CI71" s="12">
        <f t="shared" ref="CI71:CK71" si="466">IF(ISNUMBER(M71),M71,IFERROR(VALUE(SUBSTITUTE(SUBSTITUTE(SUBSTITUTE(SUBSTITUTE(SUBSTITUTE(M71,"(","-"),")",""),"%",""),",","")," ","")),"" ))</f>
        <v>12.81</v>
      </c>
      <c r="CJ71" s="12">
        <f t="shared" si="466"/>
        <v>9.1</v>
      </c>
      <c r="CK71" s="12">
        <f t="shared" si="466"/>
        <v>7.48</v>
      </c>
      <c r="CL71" s="12">
        <f t="shared" si="55"/>
        <v>2</v>
      </c>
      <c r="CM71" s="12">
        <f t="shared" si="56"/>
        <v>4.22</v>
      </c>
      <c r="CN71" s="12">
        <f t="shared" ref="CN71:CO71" si="467">IF(ISNUMBER(R71),R71,IFERROR(VALUE(SUBSTITUTE(SUBSTITUTE(SUBSTITUTE(SUBSTITUTE(R71,"(","-"),")",""),",","")," ","")),"" ))</f>
        <v>9</v>
      </c>
      <c r="CO71" s="12">
        <f t="shared" si="467"/>
        <v>0.03</v>
      </c>
      <c r="CP71" s="12">
        <f t="shared" ref="CP71:CR71" si="468">IF(ISNUMBER(AC71),AC71,IFERROR(VALUE(SUBSTITUTE(SUBSTITUTE(SUBSTITUTE(SUBSTITUTE(AC71,"(","-"),")",""),",","")," ","")),"" ))</f>
        <v>44.01</v>
      </c>
      <c r="CQ71" s="12">
        <f t="shared" si="468"/>
        <v>2.59</v>
      </c>
      <c r="CR71" s="12">
        <f t="shared" si="468"/>
        <v>6.79</v>
      </c>
      <c r="CS71" s="12">
        <f t="shared" ref="CS71:CT71" si="469">IF(ISNUMBER(AF71),AF71,IFERROR(VALUE(SUBSTITUTE(SUBSTITUTE(SUBSTITUTE(SUBSTITUTE(SUBSTITUTE(AF71,"(","-"),")",""),"%",""),",","")," ","")),"" ))</f>
        <v>45.22</v>
      </c>
      <c r="CT71" s="12">
        <f t="shared" si="469"/>
        <v>0.98</v>
      </c>
      <c r="CU71" s="12">
        <f t="shared" si="60"/>
        <v>54141</v>
      </c>
      <c r="CV71" s="12">
        <f t="shared" si="61"/>
        <v>2.08</v>
      </c>
      <c r="CW71" s="12">
        <f t="shared" ref="CW71:DA71" si="470">IF(ISNUMBER(W71),W71,IFERROR(VALUE(SUBSTITUTE(SUBSTITUTE(SUBSTITUTE(SUBSTITUTE(W71,"(","-"),")",""),",","")," ","")),"" ))</f>
        <v>6302.03</v>
      </c>
      <c r="CX71" s="12">
        <f t="shared" si="470"/>
        <v>6311.09</v>
      </c>
      <c r="CY71" s="12">
        <f t="shared" si="470"/>
        <v>2926.68</v>
      </c>
      <c r="CZ71" s="12">
        <f t="shared" si="470"/>
        <v>368.53</v>
      </c>
      <c r="DA71" s="12">
        <f t="shared" si="470"/>
        <v>331.19</v>
      </c>
    </row>
    <row r="72" ht="15.75" customHeight="1">
      <c r="A72" s="25">
        <v>71.0</v>
      </c>
      <c r="B72" s="26" t="s">
        <v>179</v>
      </c>
      <c r="C72" s="9" t="s">
        <v>38</v>
      </c>
      <c r="D72" s="10" t="s">
        <v>180</v>
      </c>
      <c r="E72" s="27" t="s">
        <v>181</v>
      </c>
      <c r="F72" s="28">
        <v>896.85</v>
      </c>
      <c r="G72" s="28">
        <v>6011.3</v>
      </c>
      <c r="H72" s="28">
        <v>22.22</v>
      </c>
      <c r="I72" s="28">
        <v>32.25</v>
      </c>
      <c r="J72" s="28">
        <v>2.51</v>
      </c>
      <c r="K72" s="28">
        <v>2.51</v>
      </c>
      <c r="L72" s="28">
        <v>11.73</v>
      </c>
      <c r="M72" s="28">
        <v>12.35</v>
      </c>
      <c r="N72" s="28">
        <v>11.06</v>
      </c>
      <c r="O72" s="28">
        <v>4.04</v>
      </c>
      <c r="P72" s="28">
        <v>5.0</v>
      </c>
      <c r="Q72" s="28">
        <v>6.69</v>
      </c>
      <c r="R72" s="28">
        <v>6.0</v>
      </c>
      <c r="S72" s="28">
        <v>0.86</v>
      </c>
      <c r="T72" s="28">
        <v>149077.0</v>
      </c>
      <c r="U72" s="28">
        <v>214783.0</v>
      </c>
      <c r="V72" s="28">
        <v>5.62</v>
      </c>
      <c r="W72" s="28">
        <v>945.71</v>
      </c>
      <c r="X72" s="28">
        <v>908.32</v>
      </c>
      <c r="Y72" s="28">
        <v>1379.72</v>
      </c>
      <c r="Z72" s="28">
        <v>-878.08</v>
      </c>
      <c r="AA72" s="28">
        <v>-603.08</v>
      </c>
      <c r="AB72" s="28">
        <v>-29.89</v>
      </c>
      <c r="AC72" s="28">
        <v>2.87</v>
      </c>
      <c r="AD72" s="28">
        <v>0.29</v>
      </c>
      <c r="AE72" s="28">
        <v>2.99</v>
      </c>
      <c r="AF72" s="28">
        <v>59.63</v>
      </c>
      <c r="AG72" s="28">
        <v>0.0</v>
      </c>
      <c r="AH72" s="29">
        <f t="shared" si="7"/>
        <v>0.6889922481</v>
      </c>
      <c r="AI72" s="29">
        <f t="shared" si="8"/>
        <v>1</v>
      </c>
      <c r="AJ72" s="29">
        <f t="shared" si="9"/>
        <v>0.9873722917</v>
      </c>
      <c r="AK72" s="29">
        <f t="shared" si="10"/>
        <v>0.2295210687</v>
      </c>
      <c r="AL72" s="29">
        <f t="shared" si="11"/>
        <v>-0.1460715652</v>
      </c>
      <c r="AM72" s="29">
        <f t="shared" si="12"/>
        <v>-0.1003243891</v>
      </c>
      <c r="AN72" s="29">
        <f t="shared" si="13"/>
        <v>0.487</v>
      </c>
      <c r="AO72" s="29">
        <f t="shared" si="14"/>
        <v>0.705</v>
      </c>
      <c r="AP72" s="29">
        <f t="shared" si="15"/>
        <v>0.577</v>
      </c>
      <c r="AQ72" s="29">
        <f t="shared" si="16"/>
        <v>0.513</v>
      </c>
      <c r="AR72" s="29" t="str">
        <f t="shared" si="17"/>
        <v/>
      </c>
      <c r="AS72" s="29">
        <f t="shared" si="18"/>
        <v>0.718</v>
      </c>
      <c r="AT72" s="29">
        <f t="shared" si="19"/>
        <v>0.679</v>
      </c>
      <c r="AU72" s="29">
        <f t="shared" si="20"/>
        <v>0.5885588235</v>
      </c>
      <c r="AV72" s="29">
        <f t="shared" si="21"/>
        <v>0.103</v>
      </c>
      <c r="AW72" s="29">
        <f t="shared" si="22"/>
        <v>0.038</v>
      </c>
      <c r="AX72" s="29">
        <f t="shared" si="23"/>
        <v>0.064</v>
      </c>
      <c r="AY72" s="29">
        <f t="shared" si="24"/>
        <v>0</v>
      </c>
      <c r="AZ72" s="29">
        <f t="shared" si="25"/>
        <v>0.577</v>
      </c>
      <c r="BA72" s="29">
        <f t="shared" si="26"/>
        <v>0.15515</v>
      </c>
      <c r="BB72" s="29">
        <f t="shared" si="27"/>
        <v>0.115</v>
      </c>
      <c r="BC72" s="29">
        <f t="shared" si="28"/>
        <v>0.09</v>
      </c>
      <c r="BD72" s="29">
        <f t="shared" si="29"/>
        <v>0</v>
      </c>
      <c r="BE72" s="29">
        <f t="shared" si="30"/>
        <v>0.064</v>
      </c>
      <c r="BF72" s="29">
        <f t="shared" si="31"/>
        <v>1</v>
      </c>
      <c r="BG72" s="29">
        <f t="shared" si="32"/>
        <v>0.385</v>
      </c>
      <c r="BH72" s="29">
        <f t="shared" si="33"/>
        <v>0.2025</v>
      </c>
      <c r="BI72" s="29">
        <f t="shared" si="34"/>
        <v>0.282</v>
      </c>
      <c r="BJ72" s="29">
        <f t="shared" si="35"/>
        <v>0.321</v>
      </c>
      <c r="BK72" s="29">
        <f t="shared" si="36"/>
        <v>0.218</v>
      </c>
      <c r="BL72" s="29">
        <f t="shared" si="37"/>
        <v>0.585375</v>
      </c>
      <c r="BM72" s="29">
        <f t="shared" si="38"/>
        <v>0.449</v>
      </c>
      <c r="BN72" s="30">
        <f t="shared" si="39"/>
        <v>1</v>
      </c>
      <c r="BO72" s="29">
        <f t="shared" si="40"/>
        <v>0.7245</v>
      </c>
      <c r="BP72" s="29">
        <f t="shared" si="41"/>
        <v>0.474</v>
      </c>
      <c r="BQ72" s="29">
        <f t="shared" si="42"/>
        <v>0.8924</v>
      </c>
      <c r="BR72" s="31" t="str">
        <f t="shared" si="43"/>
        <v>High</v>
      </c>
      <c r="BS72" s="29" t="str">
        <f t="shared" si="44"/>
        <v/>
      </c>
      <c r="BT72" s="31" t="str">
        <f t="shared" si="45"/>
        <v>Y</v>
      </c>
      <c r="BU72" s="31" t="str">
        <f t="shared" si="46"/>
        <v>Y</v>
      </c>
      <c r="BV72" s="31" t="str">
        <f t="shared" si="47"/>
        <v>Y</v>
      </c>
      <c r="BW72" s="31" t="str">
        <f t="shared" si="48"/>
        <v>Y</v>
      </c>
      <c r="BX72" s="31" t="str">
        <f t="shared" si="49"/>
        <v>Y</v>
      </c>
      <c r="BY72" s="30">
        <f t="shared" si="50"/>
        <v>1</v>
      </c>
      <c r="BZ72" s="32">
        <f t="shared" si="51"/>
        <v>0.04</v>
      </c>
      <c r="CA72" s="9">
        <f t="shared" ref="CA72:CG72" si="471">IF(ISNUMBER(F72),F72,IFERROR(VALUE(SUBSTITUTE(SUBSTITUTE(SUBSTITUTE(SUBSTITUTE(F72,"(","-"),")",""),",","")," ","")),"" ))</f>
        <v>896.85</v>
      </c>
      <c r="CB72" s="9">
        <f t="shared" si="471"/>
        <v>6011.3</v>
      </c>
      <c r="CC72" s="9">
        <f t="shared" si="471"/>
        <v>22.22</v>
      </c>
      <c r="CD72" s="9">
        <f t="shared" si="471"/>
        <v>32.25</v>
      </c>
      <c r="CE72" s="9">
        <f t="shared" si="471"/>
        <v>2.51</v>
      </c>
      <c r="CF72" s="9">
        <f t="shared" si="471"/>
        <v>2.51</v>
      </c>
      <c r="CG72" s="9">
        <f t="shared" si="471"/>
        <v>11.73</v>
      </c>
      <c r="CH72" s="9">
        <f t="shared" si="53"/>
        <v>-29.89</v>
      </c>
      <c r="CI72" s="9">
        <f t="shared" ref="CI72:CK72" si="472">IF(ISNUMBER(M72),M72,IFERROR(VALUE(SUBSTITUTE(SUBSTITUTE(SUBSTITUTE(SUBSTITUTE(SUBSTITUTE(M72,"(","-"),")",""),"%",""),",","")," ","")),"" ))</f>
        <v>12.35</v>
      </c>
      <c r="CJ72" s="9">
        <f t="shared" si="472"/>
        <v>11.06</v>
      </c>
      <c r="CK72" s="9">
        <f t="shared" si="472"/>
        <v>4.04</v>
      </c>
      <c r="CL72" s="9">
        <f t="shared" si="55"/>
        <v>5</v>
      </c>
      <c r="CM72" s="9">
        <f t="shared" si="56"/>
        <v>6.69</v>
      </c>
      <c r="CN72" s="9">
        <f t="shared" ref="CN72:CO72" si="473">IF(ISNUMBER(R72),R72,IFERROR(VALUE(SUBSTITUTE(SUBSTITUTE(SUBSTITUTE(SUBSTITUTE(R72,"(","-"),")",""),",","")," ","")),"" ))</f>
        <v>6</v>
      </c>
      <c r="CO72" s="9">
        <f t="shared" si="473"/>
        <v>0.86</v>
      </c>
      <c r="CP72" s="9">
        <f t="shared" ref="CP72:CR72" si="474">IF(ISNUMBER(AC72),AC72,IFERROR(VALUE(SUBSTITUTE(SUBSTITUTE(SUBSTITUTE(SUBSTITUTE(AC72,"(","-"),")",""),",","")," ","")),"" ))</f>
        <v>2.87</v>
      </c>
      <c r="CQ72" s="9">
        <f t="shared" si="474"/>
        <v>0.29</v>
      </c>
      <c r="CR72" s="9">
        <f t="shared" si="474"/>
        <v>2.99</v>
      </c>
      <c r="CS72" s="9">
        <f t="shared" ref="CS72:CT72" si="475">IF(ISNUMBER(AF72),AF72,IFERROR(VALUE(SUBSTITUTE(SUBSTITUTE(SUBSTITUTE(SUBSTITUTE(SUBSTITUTE(AF72,"(","-"),")",""),"%",""),",","")," ","")),"" ))</f>
        <v>59.63</v>
      </c>
      <c r="CT72" s="9">
        <f t="shared" si="475"/>
        <v>0</v>
      </c>
      <c r="CU72" s="9">
        <f t="shared" si="60"/>
        <v>214783</v>
      </c>
      <c r="CV72" s="9">
        <f t="shared" si="61"/>
        <v>5.62</v>
      </c>
      <c r="CW72" s="9">
        <f t="shared" ref="CW72:DA72" si="476">IF(ISNUMBER(W72),W72,IFERROR(VALUE(SUBSTITUTE(SUBSTITUTE(SUBSTITUTE(SUBSTITUTE(W72,"(","-"),")",""),",","")," ","")),"" ))</f>
        <v>945.71</v>
      </c>
      <c r="CX72" s="9">
        <f t="shared" si="476"/>
        <v>908.32</v>
      </c>
      <c r="CY72" s="9">
        <f t="shared" si="476"/>
        <v>1379.72</v>
      </c>
      <c r="CZ72" s="9">
        <f t="shared" si="476"/>
        <v>-878.08</v>
      </c>
      <c r="DA72" s="9">
        <f t="shared" si="476"/>
        <v>-603.08</v>
      </c>
    </row>
    <row r="73" ht="15.75" customHeight="1">
      <c r="A73" s="33">
        <v>72.0</v>
      </c>
      <c r="B73" s="34" t="s">
        <v>137</v>
      </c>
      <c r="C73" s="12" t="s">
        <v>46</v>
      </c>
      <c r="D73" s="13" t="s">
        <v>138</v>
      </c>
      <c r="E73" s="35" t="s">
        <v>139</v>
      </c>
      <c r="F73" s="36">
        <v>504.35</v>
      </c>
      <c r="G73" s="36">
        <v>3035.72</v>
      </c>
      <c r="H73" s="36">
        <v>17.14</v>
      </c>
      <c r="I73" s="36">
        <v>27.29</v>
      </c>
      <c r="J73" s="36">
        <v>2.47</v>
      </c>
      <c r="K73" s="36">
        <v>3.26</v>
      </c>
      <c r="L73" s="36">
        <v>8.16</v>
      </c>
      <c r="M73" s="36">
        <v>12.32</v>
      </c>
      <c r="N73" s="36">
        <v>12.75</v>
      </c>
      <c r="O73" s="36">
        <v>5.28</v>
      </c>
      <c r="P73" s="36">
        <v>3.0</v>
      </c>
      <c r="Q73" s="36">
        <v>7.53</v>
      </c>
      <c r="R73" s="36">
        <v>8.0</v>
      </c>
      <c r="S73" s="36">
        <v>0.78</v>
      </c>
      <c r="T73" s="36">
        <v>186037.0</v>
      </c>
      <c r="U73" s="36">
        <v>205908.0</v>
      </c>
      <c r="V73" s="36">
        <v>9.13</v>
      </c>
      <c r="W73" s="36">
        <v>520.72</v>
      </c>
      <c r="X73" s="36">
        <v>508.81</v>
      </c>
      <c r="Y73" s="36">
        <v>1002.03</v>
      </c>
      <c r="Z73" s="36">
        <v>-157.72</v>
      </c>
      <c r="AA73" s="36">
        <v>40.87</v>
      </c>
      <c r="AB73" s="36">
        <v>222.87</v>
      </c>
      <c r="AC73" s="36">
        <v>4.54</v>
      </c>
      <c r="AD73" s="36">
        <v>0.63</v>
      </c>
      <c r="AE73" s="36">
        <v>3.77</v>
      </c>
      <c r="AF73" s="36">
        <v>70.38</v>
      </c>
      <c r="AG73" s="36">
        <v>0.0</v>
      </c>
      <c r="AH73" s="38">
        <f t="shared" si="7"/>
        <v>0.6280688897</v>
      </c>
      <c r="AI73" s="38">
        <f t="shared" si="8"/>
        <v>0.7576687117</v>
      </c>
      <c r="AJ73" s="38">
        <f t="shared" si="9"/>
        <v>0.991234449</v>
      </c>
      <c r="AK73" s="38">
        <f t="shared" si="10"/>
        <v>0.3300798493</v>
      </c>
      <c r="AL73" s="38">
        <f t="shared" si="11"/>
        <v>-0.05195472573</v>
      </c>
      <c r="AM73" s="38">
        <f t="shared" si="12"/>
        <v>0.01346303348</v>
      </c>
      <c r="AN73" s="38">
        <f t="shared" si="13"/>
        <v>0.756</v>
      </c>
      <c r="AO73" s="38">
        <f t="shared" si="14"/>
        <v>0.731</v>
      </c>
      <c r="AP73" s="38">
        <f t="shared" si="15"/>
        <v>0.833</v>
      </c>
      <c r="AQ73" s="38">
        <f t="shared" si="16"/>
        <v>0.679</v>
      </c>
      <c r="AR73" s="38">
        <f t="shared" si="17"/>
        <v>0.051</v>
      </c>
      <c r="AS73" s="38">
        <f t="shared" si="18"/>
        <v>0.821</v>
      </c>
      <c r="AT73" s="38">
        <f t="shared" si="19"/>
        <v>0.885</v>
      </c>
      <c r="AU73" s="38">
        <f t="shared" si="20"/>
        <v>0.6649</v>
      </c>
      <c r="AV73" s="38">
        <f t="shared" si="21"/>
        <v>0.09</v>
      </c>
      <c r="AW73" s="38">
        <f t="shared" si="22"/>
        <v>0.192</v>
      </c>
      <c r="AX73" s="38">
        <f t="shared" si="23"/>
        <v>0.128</v>
      </c>
      <c r="AY73" s="38">
        <f t="shared" si="24"/>
        <v>0.551</v>
      </c>
      <c r="AZ73" s="38">
        <f t="shared" si="25"/>
        <v>0.128</v>
      </c>
      <c r="BA73" s="38">
        <f t="shared" si="26"/>
        <v>0.23705</v>
      </c>
      <c r="BB73" s="38">
        <f t="shared" si="27"/>
        <v>0.179</v>
      </c>
      <c r="BC73" s="38">
        <f t="shared" si="28"/>
        <v>0.231</v>
      </c>
      <c r="BD73" s="38">
        <f t="shared" si="29"/>
        <v>0.103</v>
      </c>
      <c r="BE73" s="38">
        <f t="shared" si="30"/>
        <v>0.115</v>
      </c>
      <c r="BF73" s="38">
        <f t="shared" si="31"/>
        <v>1</v>
      </c>
      <c r="BG73" s="38">
        <f t="shared" si="32"/>
        <v>0.731</v>
      </c>
      <c r="BH73" s="38">
        <f t="shared" si="33"/>
        <v>0.3005</v>
      </c>
      <c r="BI73" s="38">
        <f t="shared" si="34"/>
        <v>0.179</v>
      </c>
      <c r="BJ73" s="38">
        <f t="shared" si="35"/>
        <v>0.115</v>
      </c>
      <c r="BK73" s="38">
        <f t="shared" si="36"/>
        <v>0.231</v>
      </c>
      <c r="BL73" s="38">
        <f t="shared" si="37"/>
        <v>0.730975</v>
      </c>
      <c r="BM73" s="38">
        <f t="shared" si="38"/>
        <v>0.5</v>
      </c>
      <c r="BN73" s="39">
        <f t="shared" si="39"/>
        <v>1</v>
      </c>
      <c r="BO73" s="38">
        <f t="shared" si="40"/>
        <v>0.75</v>
      </c>
      <c r="BP73" s="38">
        <f t="shared" si="41"/>
        <v>0.449</v>
      </c>
      <c r="BQ73" s="38">
        <f t="shared" si="42"/>
        <v>0.8657</v>
      </c>
      <c r="BR73" s="40" t="str">
        <f t="shared" si="43"/>
        <v>High</v>
      </c>
      <c r="BS73" s="38">
        <f t="shared" si="44"/>
        <v>0.04984875</v>
      </c>
      <c r="BT73" s="40" t="str">
        <f t="shared" si="45"/>
        <v>Y</v>
      </c>
      <c r="BU73" s="40" t="str">
        <f t="shared" si="46"/>
        <v>Y</v>
      </c>
      <c r="BV73" s="40" t="str">
        <f t="shared" si="47"/>
        <v>Y</v>
      </c>
      <c r="BW73" s="40" t="str">
        <f t="shared" si="48"/>
        <v>Y</v>
      </c>
      <c r="BX73" s="40" t="str">
        <f t="shared" si="49"/>
        <v>Y</v>
      </c>
      <c r="BY73" s="39">
        <f t="shared" si="50"/>
        <v>48</v>
      </c>
      <c r="BZ73" s="41" t="str">
        <f t="shared" si="51"/>
        <v/>
      </c>
      <c r="CA73" s="12">
        <f t="shared" ref="CA73:CG73" si="477">IF(ISNUMBER(F73),F73,IFERROR(VALUE(SUBSTITUTE(SUBSTITUTE(SUBSTITUTE(SUBSTITUTE(F73,"(","-"),")",""),",","")," ","")),"" ))</f>
        <v>504.35</v>
      </c>
      <c r="CB73" s="12">
        <f t="shared" si="477"/>
        <v>3035.72</v>
      </c>
      <c r="CC73" s="12">
        <f t="shared" si="477"/>
        <v>17.14</v>
      </c>
      <c r="CD73" s="12">
        <f t="shared" si="477"/>
        <v>27.29</v>
      </c>
      <c r="CE73" s="12">
        <f t="shared" si="477"/>
        <v>2.47</v>
      </c>
      <c r="CF73" s="12">
        <f t="shared" si="477"/>
        <v>3.26</v>
      </c>
      <c r="CG73" s="12">
        <f t="shared" si="477"/>
        <v>8.16</v>
      </c>
      <c r="CH73" s="12">
        <f t="shared" si="53"/>
        <v>222.87</v>
      </c>
      <c r="CI73" s="12">
        <f t="shared" ref="CI73:CK73" si="478">IF(ISNUMBER(M73),M73,IFERROR(VALUE(SUBSTITUTE(SUBSTITUTE(SUBSTITUTE(SUBSTITUTE(SUBSTITUTE(M73,"(","-"),")",""),"%",""),",","")," ","")),"" ))</f>
        <v>12.32</v>
      </c>
      <c r="CJ73" s="12">
        <f t="shared" si="478"/>
        <v>12.75</v>
      </c>
      <c r="CK73" s="12">
        <f t="shared" si="478"/>
        <v>5.28</v>
      </c>
      <c r="CL73" s="12">
        <f t="shared" si="55"/>
        <v>3</v>
      </c>
      <c r="CM73" s="12">
        <f t="shared" si="56"/>
        <v>7.53</v>
      </c>
      <c r="CN73" s="12">
        <f t="shared" ref="CN73:CO73" si="479">IF(ISNUMBER(R73),R73,IFERROR(VALUE(SUBSTITUTE(SUBSTITUTE(SUBSTITUTE(SUBSTITUTE(R73,"(","-"),")",""),",","")," ","")),"" ))</f>
        <v>8</v>
      </c>
      <c r="CO73" s="12">
        <f t="shared" si="479"/>
        <v>0.78</v>
      </c>
      <c r="CP73" s="12">
        <f t="shared" ref="CP73:CR73" si="480">IF(ISNUMBER(AC73),AC73,IFERROR(VALUE(SUBSTITUTE(SUBSTITUTE(SUBSTITUTE(SUBSTITUTE(AC73,"(","-"),")",""),",","")," ","")),"" ))</f>
        <v>4.54</v>
      </c>
      <c r="CQ73" s="12">
        <f t="shared" si="480"/>
        <v>0.63</v>
      </c>
      <c r="CR73" s="12">
        <f t="shared" si="480"/>
        <v>3.77</v>
      </c>
      <c r="CS73" s="12">
        <f t="shared" ref="CS73:CT73" si="481">IF(ISNUMBER(AF73),AF73,IFERROR(VALUE(SUBSTITUTE(SUBSTITUTE(SUBSTITUTE(SUBSTITUTE(SUBSTITUTE(AF73,"(","-"),")",""),"%",""),",","")," ","")),"" ))</f>
        <v>70.38</v>
      </c>
      <c r="CT73" s="12">
        <f t="shared" si="481"/>
        <v>0</v>
      </c>
      <c r="CU73" s="12">
        <f t="shared" si="60"/>
        <v>205908</v>
      </c>
      <c r="CV73" s="12">
        <f t="shared" si="61"/>
        <v>9.13</v>
      </c>
      <c r="CW73" s="12">
        <f t="shared" ref="CW73:DA73" si="482">IF(ISNUMBER(W73),W73,IFERROR(VALUE(SUBSTITUTE(SUBSTITUTE(SUBSTITUTE(SUBSTITUTE(W73,"(","-"),")",""),",","")," ","")),"" ))</f>
        <v>520.72</v>
      </c>
      <c r="CX73" s="12">
        <f t="shared" si="482"/>
        <v>508.81</v>
      </c>
      <c r="CY73" s="12">
        <f t="shared" si="482"/>
        <v>1002.03</v>
      </c>
      <c r="CZ73" s="12">
        <f t="shared" si="482"/>
        <v>-157.72</v>
      </c>
      <c r="DA73" s="12">
        <f t="shared" si="482"/>
        <v>40.87</v>
      </c>
    </row>
    <row r="74" ht="15.75" customHeight="1">
      <c r="A74" s="25">
        <v>73.0</v>
      </c>
      <c r="B74" s="26" t="s">
        <v>70</v>
      </c>
      <c r="C74" s="9" t="s">
        <v>67</v>
      </c>
      <c r="D74" s="10" t="s">
        <v>71</v>
      </c>
      <c r="E74" s="27" t="s">
        <v>72</v>
      </c>
      <c r="F74" s="28">
        <v>111.0</v>
      </c>
      <c r="G74" s="28">
        <v>1410.5</v>
      </c>
      <c r="H74" s="28">
        <v>11.46</v>
      </c>
      <c r="I74" s="28">
        <v>21.77</v>
      </c>
      <c r="J74" s="28">
        <v>1.34</v>
      </c>
      <c r="K74" s="28">
        <v>1.6</v>
      </c>
      <c r="L74" s="28">
        <v>6.23</v>
      </c>
      <c r="M74" s="28">
        <v>12.04</v>
      </c>
      <c r="N74" s="28">
        <v>12.35</v>
      </c>
      <c r="O74" s="28">
        <v>5.79</v>
      </c>
      <c r="P74" s="28">
        <v>3.0</v>
      </c>
      <c r="Q74" s="28">
        <v>11.11</v>
      </c>
      <c r="R74" s="28">
        <v>9.0</v>
      </c>
      <c r="S74" s="28">
        <v>0.48</v>
      </c>
      <c r="T74" s="28">
        <v>297087.0</v>
      </c>
      <c r="U74" s="28">
        <v>321373.0</v>
      </c>
      <c r="V74" s="28">
        <v>0.33</v>
      </c>
      <c r="W74" s="28">
        <v>101.92</v>
      </c>
      <c r="X74" s="28">
        <v>100.51</v>
      </c>
      <c r="Y74" s="28">
        <v>896.92</v>
      </c>
      <c r="Z74" s="28">
        <v>279.55</v>
      </c>
      <c r="AA74" s="28">
        <v>163.8</v>
      </c>
      <c r="AB74" s="28">
        <v>25.84</v>
      </c>
      <c r="AC74" s="28">
        <v>4.79</v>
      </c>
      <c r="AD74" s="28">
        <v>1.6</v>
      </c>
      <c r="AE74" s="28">
        <v>4.27</v>
      </c>
      <c r="AF74" s="28">
        <v>74.36</v>
      </c>
      <c r="AG74" s="28">
        <v>0.0</v>
      </c>
      <c r="AH74" s="29">
        <f t="shared" si="7"/>
        <v>0.5264124943</v>
      </c>
      <c r="AI74" s="29">
        <f t="shared" si="8"/>
        <v>0.8375</v>
      </c>
      <c r="AJ74" s="29">
        <f t="shared" si="9"/>
        <v>1.104367725</v>
      </c>
      <c r="AK74" s="29">
        <f t="shared" si="10"/>
        <v>0.635887983</v>
      </c>
      <c r="AL74" s="29">
        <f t="shared" si="11"/>
        <v>0.1981921305</v>
      </c>
      <c r="AM74" s="29">
        <f t="shared" si="12"/>
        <v>0.1161290323</v>
      </c>
      <c r="AN74" s="29">
        <f t="shared" si="13"/>
        <v>0.91</v>
      </c>
      <c r="AO74" s="29">
        <f t="shared" si="14"/>
        <v>0.949</v>
      </c>
      <c r="AP74" s="29">
        <f t="shared" si="15"/>
        <v>0.974</v>
      </c>
      <c r="AQ74" s="29">
        <f t="shared" si="16"/>
        <v>0.897</v>
      </c>
      <c r="AR74" s="29">
        <f t="shared" si="17"/>
        <v>0.526</v>
      </c>
      <c r="AS74" s="29">
        <f t="shared" si="18"/>
        <v>0.91</v>
      </c>
      <c r="AT74" s="29">
        <f t="shared" si="19"/>
        <v>0.808</v>
      </c>
      <c r="AU74" s="29">
        <f t="shared" si="20"/>
        <v>0.86145</v>
      </c>
      <c r="AV74" s="29">
        <f t="shared" si="21"/>
        <v>0.077</v>
      </c>
      <c r="AW74" s="29">
        <f t="shared" si="22"/>
        <v>0.128</v>
      </c>
      <c r="AX74" s="29">
        <f t="shared" si="23"/>
        <v>0.179</v>
      </c>
      <c r="AY74" s="29">
        <f t="shared" si="24"/>
        <v>0.897</v>
      </c>
      <c r="AZ74" s="29">
        <f t="shared" si="25"/>
        <v>0.128</v>
      </c>
      <c r="BA74" s="29">
        <f t="shared" si="26"/>
        <v>0.3126</v>
      </c>
      <c r="BB74" s="29">
        <f t="shared" si="27"/>
        <v>0.308</v>
      </c>
      <c r="BC74" s="29">
        <f t="shared" si="28"/>
        <v>0.256</v>
      </c>
      <c r="BD74" s="29">
        <f t="shared" si="29"/>
        <v>0.564</v>
      </c>
      <c r="BE74" s="29">
        <f t="shared" si="30"/>
        <v>0.205</v>
      </c>
      <c r="BF74" s="29">
        <f t="shared" si="31"/>
        <v>1</v>
      </c>
      <c r="BG74" s="29">
        <f t="shared" si="32"/>
        <v>0.859</v>
      </c>
      <c r="BH74" s="29">
        <f t="shared" si="33"/>
        <v>0.42435</v>
      </c>
      <c r="BI74" s="29">
        <f t="shared" si="34"/>
        <v>0.09</v>
      </c>
      <c r="BJ74" s="29">
        <f t="shared" si="35"/>
        <v>0.192</v>
      </c>
      <c r="BK74" s="29">
        <f t="shared" si="36"/>
        <v>0.692</v>
      </c>
      <c r="BL74" s="29">
        <f t="shared" si="37"/>
        <v>0.8067375</v>
      </c>
      <c r="BM74" s="29">
        <f t="shared" si="38"/>
        <v>0.308</v>
      </c>
      <c r="BN74" s="30">
        <f t="shared" si="39"/>
        <v>1</v>
      </c>
      <c r="BO74" s="29">
        <f t="shared" si="40"/>
        <v>0.654</v>
      </c>
      <c r="BP74" s="29">
        <f t="shared" si="41"/>
        <v>0.564</v>
      </c>
      <c r="BQ74" s="29">
        <f t="shared" si="42"/>
        <v>0.831</v>
      </c>
      <c r="BR74" s="31" t="str">
        <f t="shared" si="43"/>
        <v>High</v>
      </c>
      <c r="BS74" s="29">
        <f t="shared" si="44"/>
        <v>0.295486875</v>
      </c>
      <c r="BT74" s="31" t="str">
        <f t="shared" si="45"/>
        <v>Y</v>
      </c>
      <c r="BU74" s="31" t="str">
        <f t="shared" si="46"/>
        <v>Y</v>
      </c>
      <c r="BV74" s="31" t="str">
        <f t="shared" si="47"/>
        <v>Y</v>
      </c>
      <c r="BW74" s="31" t="str">
        <f t="shared" si="48"/>
        <v>Y</v>
      </c>
      <c r="BX74" s="31" t="str">
        <f t="shared" si="49"/>
        <v>Y</v>
      </c>
      <c r="BY74" s="30">
        <f t="shared" si="50"/>
        <v>37</v>
      </c>
      <c r="BZ74" s="32" t="str">
        <f t="shared" si="51"/>
        <v/>
      </c>
      <c r="CA74" s="9">
        <f t="shared" ref="CA74:CG74" si="483">IF(ISNUMBER(F74),F74,IFERROR(VALUE(SUBSTITUTE(SUBSTITUTE(SUBSTITUTE(SUBSTITUTE(F74,"(","-"),")",""),",","")," ","")),"" ))</f>
        <v>111</v>
      </c>
      <c r="CB74" s="9">
        <f t="shared" si="483"/>
        <v>1410.5</v>
      </c>
      <c r="CC74" s="9">
        <f t="shared" si="483"/>
        <v>11.46</v>
      </c>
      <c r="CD74" s="9">
        <f t="shared" si="483"/>
        <v>21.77</v>
      </c>
      <c r="CE74" s="9">
        <f t="shared" si="483"/>
        <v>1.34</v>
      </c>
      <c r="CF74" s="9">
        <f t="shared" si="483"/>
        <v>1.6</v>
      </c>
      <c r="CG74" s="9">
        <f t="shared" si="483"/>
        <v>6.23</v>
      </c>
      <c r="CH74" s="9">
        <f t="shared" si="53"/>
        <v>25.84</v>
      </c>
      <c r="CI74" s="9">
        <f t="shared" ref="CI74:CK74" si="484">IF(ISNUMBER(M74),M74,IFERROR(VALUE(SUBSTITUTE(SUBSTITUTE(SUBSTITUTE(SUBSTITUTE(SUBSTITUTE(M74,"(","-"),")",""),"%",""),",","")," ","")),"" ))</f>
        <v>12.04</v>
      </c>
      <c r="CJ74" s="9">
        <f t="shared" si="484"/>
        <v>12.35</v>
      </c>
      <c r="CK74" s="9">
        <f t="shared" si="484"/>
        <v>5.79</v>
      </c>
      <c r="CL74" s="9">
        <f t="shared" si="55"/>
        <v>3</v>
      </c>
      <c r="CM74" s="9">
        <f t="shared" si="56"/>
        <v>11.11</v>
      </c>
      <c r="CN74" s="9">
        <f t="shared" ref="CN74:CO74" si="485">IF(ISNUMBER(R74),R74,IFERROR(VALUE(SUBSTITUTE(SUBSTITUTE(SUBSTITUTE(SUBSTITUTE(R74,"(","-"),")",""),",","")," ","")),"" ))</f>
        <v>9</v>
      </c>
      <c r="CO74" s="9">
        <f t="shared" si="485"/>
        <v>0.48</v>
      </c>
      <c r="CP74" s="9">
        <f t="shared" ref="CP74:CR74" si="486">IF(ISNUMBER(AC74),AC74,IFERROR(VALUE(SUBSTITUTE(SUBSTITUTE(SUBSTITUTE(SUBSTITUTE(AC74,"(","-"),")",""),",","")," ","")),"" ))</f>
        <v>4.79</v>
      </c>
      <c r="CQ74" s="9">
        <f t="shared" si="486"/>
        <v>1.6</v>
      </c>
      <c r="CR74" s="9">
        <f t="shared" si="486"/>
        <v>4.27</v>
      </c>
      <c r="CS74" s="9">
        <f t="shared" ref="CS74:CT74" si="487">IF(ISNUMBER(AF74),AF74,IFERROR(VALUE(SUBSTITUTE(SUBSTITUTE(SUBSTITUTE(SUBSTITUTE(SUBSTITUTE(AF74,"(","-"),")",""),"%",""),",","")," ","")),"" ))</f>
        <v>74.36</v>
      </c>
      <c r="CT74" s="9">
        <f t="shared" si="487"/>
        <v>0</v>
      </c>
      <c r="CU74" s="9">
        <f t="shared" si="60"/>
        <v>321373</v>
      </c>
      <c r="CV74" s="9">
        <f t="shared" si="61"/>
        <v>0.33</v>
      </c>
      <c r="CW74" s="9">
        <f t="shared" ref="CW74:DA74" si="488">IF(ISNUMBER(W74),W74,IFERROR(VALUE(SUBSTITUTE(SUBSTITUTE(SUBSTITUTE(SUBSTITUTE(W74,"(","-"),")",""),",","")," ","")),"" ))</f>
        <v>101.92</v>
      </c>
      <c r="CX74" s="9">
        <f t="shared" si="488"/>
        <v>100.51</v>
      </c>
      <c r="CY74" s="9">
        <f t="shared" si="488"/>
        <v>896.92</v>
      </c>
      <c r="CZ74" s="9">
        <f t="shared" si="488"/>
        <v>279.55</v>
      </c>
      <c r="DA74" s="9">
        <f t="shared" si="488"/>
        <v>163.8</v>
      </c>
    </row>
    <row r="75" ht="15.75" customHeight="1">
      <c r="A75" s="33">
        <v>74.0</v>
      </c>
      <c r="B75" s="34" t="s">
        <v>198</v>
      </c>
      <c r="C75" s="12" t="s">
        <v>67</v>
      </c>
      <c r="D75" s="13" t="s">
        <v>199</v>
      </c>
      <c r="E75" s="35" t="s">
        <v>200</v>
      </c>
      <c r="F75" s="36">
        <v>442.45</v>
      </c>
      <c r="G75" s="36">
        <v>14775.97</v>
      </c>
      <c r="H75" s="36">
        <v>41.7</v>
      </c>
      <c r="I75" s="36">
        <v>28.45</v>
      </c>
      <c r="J75" s="36">
        <v>2.41</v>
      </c>
      <c r="K75" s="36">
        <v>2.72</v>
      </c>
      <c r="L75" s="36">
        <v>19.28</v>
      </c>
      <c r="M75" s="36">
        <v>11.98</v>
      </c>
      <c r="N75" s="36">
        <v>13.14</v>
      </c>
      <c r="O75" s="36">
        <v>0.62</v>
      </c>
      <c r="P75" s="36">
        <v>4.0</v>
      </c>
      <c r="Q75" s="36">
        <v>4.45</v>
      </c>
      <c r="R75" s="36">
        <v>7.0</v>
      </c>
      <c r="S75" s="36">
        <v>0.28</v>
      </c>
      <c r="T75" s="36">
        <v>351406.0</v>
      </c>
      <c r="U75" s="36">
        <v>604801.0</v>
      </c>
      <c r="V75" s="36">
        <v>7.61</v>
      </c>
      <c r="W75" s="36">
        <v>432.52</v>
      </c>
      <c r="X75" s="36">
        <v>428.1</v>
      </c>
      <c r="Y75" s="37"/>
      <c r="Z75" s="37"/>
      <c r="AA75" s="36">
        <v>997.41</v>
      </c>
      <c r="AB75" s="36">
        <v>44.45</v>
      </c>
      <c r="AC75" s="36">
        <v>2.61</v>
      </c>
      <c r="AD75" s="36">
        <v>2.43</v>
      </c>
      <c r="AE75" s="36">
        <v>4.31</v>
      </c>
      <c r="AF75" s="36">
        <v>75.91</v>
      </c>
      <c r="AG75" s="36">
        <v>0.0</v>
      </c>
      <c r="AH75" s="38">
        <f t="shared" si="7"/>
        <v>1.46572935</v>
      </c>
      <c r="AI75" s="38">
        <f t="shared" si="8"/>
        <v>0.8860294118</v>
      </c>
      <c r="AJ75" s="38">
        <f t="shared" si="9"/>
        <v>1.033520206</v>
      </c>
      <c r="AK75" s="38">
        <f t="shared" si="10"/>
        <v>0</v>
      </c>
      <c r="AL75" s="38">
        <f t="shared" si="11"/>
        <v>0</v>
      </c>
      <c r="AM75" s="38">
        <f t="shared" si="12"/>
        <v>0.06750216737</v>
      </c>
      <c r="AN75" s="38">
        <f t="shared" si="13"/>
        <v>0.026</v>
      </c>
      <c r="AO75" s="38">
        <f t="shared" si="14"/>
        <v>0.744</v>
      </c>
      <c r="AP75" s="38">
        <f t="shared" si="15"/>
        <v>0.064</v>
      </c>
      <c r="AQ75" s="38">
        <f t="shared" si="16"/>
        <v>0.09</v>
      </c>
      <c r="AR75" s="38">
        <f t="shared" si="17"/>
        <v>0.346</v>
      </c>
      <c r="AS75" s="38">
        <f t="shared" si="18"/>
        <v>0.064</v>
      </c>
      <c r="AT75" s="38">
        <f t="shared" si="19"/>
        <v>0.782</v>
      </c>
      <c r="AU75" s="38">
        <f t="shared" si="20"/>
        <v>0.25845</v>
      </c>
      <c r="AV75" s="38">
        <f t="shared" si="21"/>
        <v>0.064</v>
      </c>
      <c r="AW75" s="38">
        <f t="shared" si="22"/>
        <v>0.231</v>
      </c>
      <c r="AX75" s="38">
        <f t="shared" si="23"/>
        <v>0.013</v>
      </c>
      <c r="AY75" s="38">
        <f t="shared" si="24"/>
        <v>0.256</v>
      </c>
      <c r="AZ75" s="38">
        <f t="shared" si="25"/>
        <v>0.308</v>
      </c>
      <c r="BA75" s="38">
        <f t="shared" si="26"/>
        <v>0.1891</v>
      </c>
      <c r="BB75" s="38">
        <f t="shared" si="27"/>
        <v>0.487</v>
      </c>
      <c r="BC75" s="38">
        <f t="shared" si="28"/>
        <v>0.051</v>
      </c>
      <c r="BD75" s="38">
        <f t="shared" si="29"/>
        <v>0.756</v>
      </c>
      <c r="BE75" s="38">
        <f t="shared" si="30"/>
        <v>0.218</v>
      </c>
      <c r="BF75" s="38">
        <f t="shared" si="31"/>
        <v>1</v>
      </c>
      <c r="BG75" s="38">
        <f t="shared" si="32"/>
        <v>0.949</v>
      </c>
      <c r="BH75" s="38">
        <f t="shared" si="33"/>
        <v>0.47875</v>
      </c>
      <c r="BI75" s="38">
        <f t="shared" si="34"/>
        <v>0.936</v>
      </c>
      <c r="BJ75" s="38">
        <f t="shared" si="35"/>
        <v>0.218</v>
      </c>
      <c r="BK75" s="38">
        <f t="shared" si="36"/>
        <v>0.397</v>
      </c>
      <c r="BL75" s="38">
        <f t="shared" si="37"/>
        <v>0.8518375</v>
      </c>
      <c r="BM75" s="38">
        <f t="shared" si="38"/>
        <v>0.474</v>
      </c>
      <c r="BN75" s="39">
        <f t="shared" si="39"/>
        <v>1</v>
      </c>
      <c r="BO75" s="38">
        <f t="shared" si="40"/>
        <v>0.737</v>
      </c>
      <c r="BP75" s="38">
        <f t="shared" si="41"/>
        <v>0.641</v>
      </c>
      <c r="BQ75" s="38">
        <f t="shared" si="42"/>
        <v>0.7409</v>
      </c>
      <c r="BR75" s="40" t="str">
        <f t="shared" si="43"/>
        <v>High</v>
      </c>
      <c r="BS75" s="38">
        <f t="shared" si="44"/>
        <v>0.241441875</v>
      </c>
      <c r="BT75" s="40" t="str">
        <f t="shared" si="45"/>
        <v>Y</v>
      </c>
      <c r="BU75" s="40" t="str">
        <f t="shared" si="46"/>
        <v>Y</v>
      </c>
      <c r="BV75" s="40" t="str">
        <f t="shared" si="47"/>
        <v>Y</v>
      </c>
      <c r="BW75" s="40" t="str">
        <f t="shared" si="48"/>
        <v>Y</v>
      </c>
      <c r="BX75" s="40" t="str">
        <f t="shared" si="49"/>
        <v>Y</v>
      </c>
      <c r="BY75" s="39">
        <f t="shared" si="50"/>
        <v>46</v>
      </c>
      <c r="BZ75" s="41" t="str">
        <f t="shared" si="51"/>
        <v/>
      </c>
      <c r="CA75" s="12">
        <f t="shared" ref="CA75:CG75" si="489">IF(ISNUMBER(F75),F75,IFERROR(VALUE(SUBSTITUTE(SUBSTITUTE(SUBSTITUTE(SUBSTITUTE(F75,"(","-"),")",""),",","")," ","")),"" ))</f>
        <v>442.45</v>
      </c>
      <c r="CB75" s="12">
        <f t="shared" si="489"/>
        <v>14775.97</v>
      </c>
      <c r="CC75" s="12">
        <f t="shared" si="489"/>
        <v>41.7</v>
      </c>
      <c r="CD75" s="12">
        <f t="shared" si="489"/>
        <v>28.45</v>
      </c>
      <c r="CE75" s="12">
        <f t="shared" si="489"/>
        <v>2.41</v>
      </c>
      <c r="CF75" s="12">
        <f t="shared" si="489"/>
        <v>2.72</v>
      </c>
      <c r="CG75" s="12">
        <f t="shared" si="489"/>
        <v>19.28</v>
      </c>
      <c r="CH75" s="12">
        <f t="shared" si="53"/>
        <v>44.45</v>
      </c>
      <c r="CI75" s="12">
        <f t="shared" ref="CI75:CK75" si="490">IF(ISNUMBER(M75),M75,IFERROR(VALUE(SUBSTITUTE(SUBSTITUTE(SUBSTITUTE(SUBSTITUTE(SUBSTITUTE(M75,"(","-"),")",""),"%",""),",","")," ","")),"" ))</f>
        <v>11.98</v>
      </c>
      <c r="CJ75" s="12">
        <f t="shared" si="490"/>
        <v>13.14</v>
      </c>
      <c r="CK75" s="12">
        <f t="shared" si="490"/>
        <v>0.62</v>
      </c>
      <c r="CL75" s="12">
        <f t="shared" si="55"/>
        <v>4</v>
      </c>
      <c r="CM75" s="12">
        <f t="shared" si="56"/>
        <v>4.45</v>
      </c>
      <c r="CN75" s="12">
        <f t="shared" ref="CN75:CO75" si="491">IF(ISNUMBER(R75),R75,IFERROR(VALUE(SUBSTITUTE(SUBSTITUTE(SUBSTITUTE(SUBSTITUTE(R75,"(","-"),")",""),",","")," ","")),"" ))</f>
        <v>7</v>
      </c>
      <c r="CO75" s="12">
        <f t="shared" si="491"/>
        <v>0.28</v>
      </c>
      <c r="CP75" s="12">
        <f t="shared" ref="CP75:CR75" si="492">IF(ISNUMBER(AC75),AC75,IFERROR(VALUE(SUBSTITUTE(SUBSTITUTE(SUBSTITUTE(SUBSTITUTE(AC75,"(","-"),")",""),",","")," ","")),"" ))</f>
        <v>2.61</v>
      </c>
      <c r="CQ75" s="12">
        <f t="shared" si="492"/>
        <v>2.43</v>
      </c>
      <c r="CR75" s="12">
        <f t="shared" si="492"/>
        <v>4.31</v>
      </c>
      <c r="CS75" s="12">
        <f t="shared" ref="CS75:CT75" si="493">IF(ISNUMBER(AF75),AF75,IFERROR(VALUE(SUBSTITUTE(SUBSTITUTE(SUBSTITUTE(SUBSTITUTE(SUBSTITUTE(AF75,"(","-"),")",""),"%",""),",","")," ","")),"" ))</f>
        <v>75.91</v>
      </c>
      <c r="CT75" s="12">
        <f t="shared" si="493"/>
        <v>0</v>
      </c>
      <c r="CU75" s="12">
        <f t="shared" si="60"/>
        <v>604801</v>
      </c>
      <c r="CV75" s="12">
        <f t="shared" si="61"/>
        <v>7.61</v>
      </c>
      <c r="CW75" s="12">
        <f t="shared" ref="CW75:DA75" si="494">IF(ISNUMBER(W75),W75,IFERROR(VALUE(SUBSTITUTE(SUBSTITUTE(SUBSTITUTE(SUBSTITUTE(W75,"(","-"),")",""),",","")," ","")),"" ))</f>
        <v>432.52</v>
      </c>
      <c r="CX75" s="12">
        <f t="shared" si="494"/>
        <v>428.1</v>
      </c>
      <c r="CY75" s="12">
        <f t="shared" si="494"/>
        <v>0</v>
      </c>
      <c r="CZ75" s="12">
        <f t="shared" si="494"/>
        <v>0</v>
      </c>
      <c r="DA75" s="12">
        <f t="shared" si="494"/>
        <v>997.41</v>
      </c>
    </row>
    <row r="76" ht="15.75" customHeight="1">
      <c r="A76" s="25">
        <v>75.0</v>
      </c>
      <c r="B76" s="26" t="s">
        <v>189</v>
      </c>
      <c r="C76" s="9" t="s">
        <v>55</v>
      </c>
      <c r="D76" s="10" t="s">
        <v>190</v>
      </c>
      <c r="E76" s="27" t="s">
        <v>191</v>
      </c>
      <c r="F76" s="28">
        <v>450.7</v>
      </c>
      <c r="G76" s="28">
        <v>2176.05</v>
      </c>
      <c r="H76" s="28">
        <v>25.13</v>
      </c>
      <c r="I76" s="28">
        <v>27.29</v>
      </c>
      <c r="J76" s="28">
        <v>2.35</v>
      </c>
      <c r="K76" s="28">
        <v>3.26</v>
      </c>
      <c r="L76" s="28">
        <v>10.77</v>
      </c>
      <c r="M76" s="28">
        <v>11.88</v>
      </c>
      <c r="N76" s="28">
        <v>14.5</v>
      </c>
      <c r="O76" s="28">
        <v>5.64</v>
      </c>
      <c r="P76" s="28">
        <v>2.0</v>
      </c>
      <c r="Q76" s="28">
        <v>6.09</v>
      </c>
      <c r="R76" s="28">
        <v>6.0</v>
      </c>
      <c r="S76" s="28">
        <v>1.31</v>
      </c>
      <c r="T76" s="28">
        <v>90660.0</v>
      </c>
      <c r="U76" s="28">
        <v>147573.0</v>
      </c>
      <c r="V76" s="28">
        <v>42.06</v>
      </c>
      <c r="W76" s="28">
        <v>424.49</v>
      </c>
      <c r="X76" s="28">
        <v>382.52</v>
      </c>
      <c r="Y76" s="28">
        <v>661.38</v>
      </c>
      <c r="Z76" s="28">
        <v>-332.85</v>
      </c>
      <c r="AA76" s="28">
        <v>-363.25</v>
      </c>
      <c r="AB76" s="28">
        <v>-17.98</v>
      </c>
      <c r="AC76" s="28">
        <v>2.62</v>
      </c>
      <c r="AD76" s="28">
        <v>0.86</v>
      </c>
      <c r="AE76" s="28">
        <v>2.92</v>
      </c>
      <c r="AF76" s="28">
        <v>56.34</v>
      </c>
      <c r="AG76" s="28">
        <v>0.0</v>
      </c>
      <c r="AH76" s="29">
        <f t="shared" si="7"/>
        <v>0.9208501283</v>
      </c>
      <c r="AI76" s="29">
        <f t="shared" si="8"/>
        <v>0.7208588957</v>
      </c>
      <c r="AJ76" s="29">
        <f t="shared" si="9"/>
        <v>1.178239046</v>
      </c>
      <c r="AK76" s="29">
        <f t="shared" si="10"/>
        <v>0.3039360309</v>
      </c>
      <c r="AL76" s="29">
        <f t="shared" si="11"/>
        <v>-0.1529606397</v>
      </c>
      <c r="AM76" s="29">
        <f t="shared" si="12"/>
        <v>-0.1669309069</v>
      </c>
      <c r="AN76" s="29">
        <f t="shared" si="13"/>
        <v>0.308</v>
      </c>
      <c r="AO76" s="29">
        <f t="shared" si="14"/>
        <v>0.808</v>
      </c>
      <c r="AP76" s="29">
        <f t="shared" si="15"/>
        <v>0.641</v>
      </c>
      <c r="AQ76" s="29">
        <f t="shared" si="16"/>
        <v>0.423</v>
      </c>
      <c r="AR76" s="29" t="str">
        <f t="shared" si="17"/>
        <v/>
      </c>
      <c r="AS76" s="29">
        <f t="shared" si="18"/>
        <v>0.436</v>
      </c>
      <c r="AT76" s="29">
        <f t="shared" si="19"/>
        <v>0.936</v>
      </c>
      <c r="AU76" s="29">
        <f t="shared" si="20"/>
        <v>0.5615882353</v>
      </c>
      <c r="AV76" s="29">
        <f t="shared" si="21"/>
        <v>0.051</v>
      </c>
      <c r="AW76" s="29">
        <f t="shared" si="22"/>
        <v>0.359</v>
      </c>
      <c r="AX76" s="29">
        <f t="shared" si="23"/>
        <v>0.154</v>
      </c>
      <c r="AY76" s="29">
        <f t="shared" si="24"/>
        <v>0</v>
      </c>
      <c r="AZ76" s="29">
        <f t="shared" si="25"/>
        <v>0.026</v>
      </c>
      <c r="BA76" s="29">
        <f t="shared" si="26"/>
        <v>0.10515</v>
      </c>
      <c r="BB76" s="29">
        <f t="shared" si="27"/>
        <v>0.013</v>
      </c>
      <c r="BC76" s="29">
        <f t="shared" si="28"/>
        <v>0.064</v>
      </c>
      <c r="BD76" s="29">
        <f t="shared" si="29"/>
        <v>0.231</v>
      </c>
      <c r="BE76" s="29">
        <f t="shared" si="30"/>
        <v>0.051</v>
      </c>
      <c r="BF76" s="29">
        <f t="shared" si="31"/>
        <v>1</v>
      </c>
      <c r="BG76" s="29">
        <f t="shared" si="32"/>
        <v>0.269</v>
      </c>
      <c r="BH76" s="29">
        <f t="shared" si="33"/>
        <v>0.17625</v>
      </c>
      <c r="BI76" s="29">
        <f t="shared" si="34"/>
        <v>0.564</v>
      </c>
      <c r="BJ76" s="29">
        <f t="shared" si="35"/>
        <v>0.064</v>
      </c>
      <c r="BK76" s="29">
        <f t="shared" si="36"/>
        <v>0.833</v>
      </c>
      <c r="BL76" s="29">
        <f t="shared" si="37"/>
        <v>0.5382125</v>
      </c>
      <c r="BM76" s="29">
        <f t="shared" si="38"/>
        <v>0.923</v>
      </c>
      <c r="BN76" s="30">
        <f t="shared" si="39"/>
        <v>1</v>
      </c>
      <c r="BO76" s="29">
        <f t="shared" si="40"/>
        <v>0.9615</v>
      </c>
      <c r="BP76" s="29">
        <f t="shared" si="41"/>
        <v>0.321</v>
      </c>
      <c r="BQ76" s="29">
        <f t="shared" si="42"/>
        <v>0.7949</v>
      </c>
      <c r="BR76" s="31" t="str">
        <f t="shared" si="43"/>
        <v>High</v>
      </c>
      <c r="BS76" s="29" t="str">
        <f t="shared" si="44"/>
        <v/>
      </c>
      <c r="BT76" s="31" t="str">
        <f t="shared" si="45"/>
        <v>Y</v>
      </c>
      <c r="BU76" s="31" t="str">
        <f t="shared" si="46"/>
        <v>Y</v>
      </c>
      <c r="BV76" s="31" t="str">
        <f t="shared" si="47"/>
        <v>Y</v>
      </c>
      <c r="BW76" s="31" t="str">
        <f t="shared" si="48"/>
        <v>Y</v>
      </c>
      <c r="BX76" s="31" t="str">
        <f t="shared" si="49"/>
        <v>Y</v>
      </c>
      <c r="BY76" s="30">
        <f t="shared" si="50"/>
        <v>1</v>
      </c>
      <c r="BZ76" s="32">
        <f t="shared" si="51"/>
        <v>0.04</v>
      </c>
      <c r="CA76" s="9">
        <f t="shared" ref="CA76:CG76" si="495">IF(ISNUMBER(F76),F76,IFERROR(VALUE(SUBSTITUTE(SUBSTITUTE(SUBSTITUTE(SUBSTITUTE(F76,"(","-"),")",""),",","")," ","")),"" ))</f>
        <v>450.7</v>
      </c>
      <c r="CB76" s="9">
        <f t="shared" si="495"/>
        <v>2176.05</v>
      </c>
      <c r="CC76" s="9">
        <f t="shared" si="495"/>
        <v>25.13</v>
      </c>
      <c r="CD76" s="9">
        <f t="shared" si="495"/>
        <v>27.29</v>
      </c>
      <c r="CE76" s="9">
        <f t="shared" si="495"/>
        <v>2.35</v>
      </c>
      <c r="CF76" s="9">
        <f t="shared" si="495"/>
        <v>3.26</v>
      </c>
      <c r="CG76" s="9">
        <f t="shared" si="495"/>
        <v>10.77</v>
      </c>
      <c r="CH76" s="9">
        <f t="shared" si="53"/>
        <v>-17.98</v>
      </c>
      <c r="CI76" s="9">
        <f t="shared" ref="CI76:CK76" si="496">IF(ISNUMBER(M76),M76,IFERROR(VALUE(SUBSTITUTE(SUBSTITUTE(SUBSTITUTE(SUBSTITUTE(SUBSTITUTE(M76,"(","-"),")",""),"%",""),",","")," ","")),"" ))</f>
        <v>11.88</v>
      </c>
      <c r="CJ76" s="9">
        <f t="shared" si="496"/>
        <v>14.5</v>
      </c>
      <c r="CK76" s="9">
        <f t="shared" si="496"/>
        <v>5.64</v>
      </c>
      <c r="CL76" s="9">
        <f t="shared" si="55"/>
        <v>2</v>
      </c>
      <c r="CM76" s="9">
        <f t="shared" si="56"/>
        <v>6.09</v>
      </c>
      <c r="CN76" s="9">
        <f t="shared" ref="CN76:CO76" si="497">IF(ISNUMBER(R76),R76,IFERROR(VALUE(SUBSTITUTE(SUBSTITUTE(SUBSTITUTE(SUBSTITUTE(R76,"(","-"),")",""),",","")," ","")),"" ))</f>
        <v>6</v>
      </c>
      <c r="CO76" s="9">
        <f t="shared" si="497"/>
        <v>1.31</v>
      </c>
      <c r="CP76" s="9">
        <f t="shared" ref="CP76:CR76" si="498">IF(ISNUMBER(AC76),AC76,IFERROR(VALUE(SUBSTITUTE(SUBSTITUTE(SUBSTITUTE(SUBSTITUTE(AC76,"(","-"),")",""),",","")," ","")),"" ))</f>
        <v>2.62</v>
      </c>
      <c r="CQ76" s="9">
        <f t="shared" si="498"/>
        <v>0.86</v>
      </c>
      <c r="CR76" s="9">
        <f t="shared" si="498"/>
        <v>2.92</v>
      </c>
      <c r="CS76" s="9">
        <f t="shared" ref="CS76:CT76" si="499">IF(ISNUMBER(AF76),AF76,IFERROR(VALUE(SUBSTITUTE(SUBSTITUTE(SUBSTITUTE(SUBSTITUTE(SUBSTITUTE(AF76,"(","-"),")",""),"%",""),",","")," ","")),"" ))</f>
        <v>56.34</v>
      </c>
      <c r="CT76" s="9">
        <f t="shared" si="499"/>
        <v>0</v>
      </c>
      <c r="CU76" s="9">
        <f t="shared" si="60"/>
        <v>147573</v>
      </c>
      <c r="CV76" s="9">
        <f t="shared" si="61"/>
        <v>42.06</v>
      </c>
      <c r="CW76" s="9">
        <f t="shared" ref="CW76:DA76" si="500">IF(ISNUMBER(W76),W76,IFERROR(VALUE(SUBSTITUTE(SUBSTITUTE(SUBSTITUTE(SUBSTITUTE(W76,"(","-"),")",""),",","")," ","")),"" ))</f>
        <v>424.49</v>
      </c>
      <c r="CX76" s="9">
        <f t="shared" si="500"/>
        <v>382.52</v>
      </c>
      <c r="CY76" s="9">
        <f t="shared" si="500"/>
        <v>661.38</v>
      </c>
      <c r="CZ76" s="9">
        <f t="shared" si="500"/>
        <v>-332.85</v>
      </c>
      <c r="DA76" s="9">
        <f t="shared" si="500"/>
        <v>-363.25</v>
      </c>
    </row>
    <row r="77" ht="15.75" customHeight="1">
      <c r="A77" s="33">
        <v>76.0</v>
      </c>
      <c r="B77" s="34" t="s">
        <v>357</v>
      </c>
      <c r="C77" s="12" t="s">
        <v>67</v>
      </c>
      <c r="D77" s="13" t="s">
        <v>358</v>
      </c>
      <c r="E77" s="35" t="s">
        <v>359</v>
      </c>
      <c r="F77" s="36">
        <v>252.45</v>
      </c>
      <c r="G77" s="36">
        <v>35005.64</v>
      </c>
      <c r="H77" s="36">
        <v>13.41</v>
      </c>
      <c r="I77" s="36">
        <v>28.05</v>
      </c>
      <c r="J77" s="36">
        <v>1.75</v>
      </c>
      <c r="K77" s="36">
        <v>1.96</v>
      </c>
      <c r="L77" s="36">
        <v>8.73</v>
      </c>
      <c r="M77" s="36">
        <v>10.51</v>
      </c>
      <c r="N77" s="36">
        <v>14.47</v>
      </c>
      <c r="O77" s="36">
        <v>4.68</v>
      </c>
      <c r="P77" s="36">
        <v>2.0</v>
      </c>
      <c r="Q77" s="36">
        <v>7.59</v>
      </c>
      <c r="R77" s="36">
        <v>7.0</v>
      </c>
      <c r="S77" s="36">
        <v>1.22</v>
      </c>
      <c r="T77" s="36">
        <v>1289265.0</v>
      </c>
      <c r="U77" s="36">
        <v>2011389.0</v>
      </c>
      <c r="V77" s="36">
        <v>9.33</v>
      </c>
      <c r="W77" s="36">
        <v>256.96</v>
      </c>
      <c r="X77" s="36">
        <v>250.09</v>
      </c>
      <c r="Y77" s="36">
        <v>30796.68</v>
      </c>
      <c r="Z77" s="36">
        <v>14583.5</v>
      </c>
      <c r="AA77" s="36">
        <v>5683.32</v>
      </c>
      <c r="AB77" s="36">
        <v>18.48</v>
      </c>
      <c r="AC77" s="36">
        <v>3.76</v>
      </c>
      <c r="AD77" s="36">
        <v>0.6</v>
      </c>
      <c r="AE77" s="36">
        <v>1.85</v>
      </c>
      <c r="AF77" s="36">
        <v>72.2</v>
      </c>
      <c r="AG77" s="36">
        <v>0.0</v>
      </c>
      <c r="AH77" s="38">
        <f t="shared" si="7"/>
        <v>0.4780748663</v>
      </c>
      <c r="AI77" s="38">
        <f t="shared" si="8"/>
        <v>0.8928571429</v>
      </c>
      <c r="AJ77" s="38">
        <f t="shared" si="9"/>
        <v>1.009436603</v>
      </c>
      <c r="AK77" s="38">
        <f t="shared" si="10"/>
        <v>0.8797633753</v>
      </c>
      <c r="AL77" s="38">
        <f t="shared" si="11"/>
        <v>0.4166042958</v>
      </c>
      <c r="AM77" s="38">
        <f t="shared" si="12"/>
        <v>0.1623544092</v>
      </c>
      <c r="AN77" s="38">
        <f t="shared" si="13"/>
        <v>0.833</v>
      </c>
      <c r="AO77" s="38">
        <f t="shared" si="14"/>
        <v>0.897</v>
      </c>
      <c r="AP77" s="38">
        <f t="shared" si="15"/>
        <v>0.769</v>
      </c>
      <c r="AQ77" s="38">
        <f t="shared" si="16"/>
        <v>0.692</v>
      </c>
      <c r="AR77" s="38">
        <f t="shared" si="17"/>
        <v>0.692</v>
      </c>
      <c r="AS77" s="38">
        <f t="shared" si="18"/>
        <v>0.949</v>
      </c>
      <c r="AT77" s="38">
        <f t="shared" si="19"/>
        <v>0.769</v>
      </c>
      <c r="AU77" s="38">
        <f t="shared" si="20"/>
        <v>0.7914</v>
      </c>
      <c r="AV77" s="38">
        <f t="shared" si="21"/>
        <v>0.038</v>
      </c>
      <c r="AW77" s="38">
        <f t="shared" si="22"/>
        <v>0.346</v>
      </c>
      <c r="AX77" s="38">
        <f t="shared" si="23"/>
        <v>0.103</v>
      </c>
      <c r="AY77" s="38">
        <f t="shared" si="24"/>
        <v>0.256</v>
      </c>
      <c r="AZ77" s="38">
        <f t="shared" si="25"/>
        <v>0.026</v>
      </c>
      <c r="BA77" s="38">
        <f t="shared" si="26"/>
        <v>0.1582</v>
      </c>
      <c r="BB77" s="38">
        <f t="shared" si="27"/>
        <v>0.051</v>
      </c>
      <c r="BC77" s="38">
        <f t="shared" si="28"/>
        <v>0.167</v>
      </c>
      <c r="BD77" s="38">
        <f t="shared" si="29"/>
        <v>0.09</v>
      </c>
      <c r="BE77" s="38">
        <f t="shared" si="30"/>
        <v>0.026</v>
      </c>
      <c r="BF77" s="38">
        <f t="shared" si="31"/>
        <v>1</v>
      </c>
      <c r="BG77" s="38">
        <f t="shared" si="32"/>
        <v>0.769</v>
      </c>
      <c r="BH77" s="38">
        <f t="shared" si="33"/>
        <v>0.23275</v>
      </c>
      <c r="BI77" s="38">
        <f t="shared" si="34"/>
        <v>0.051</v>
      </c>
      <c r="BJ77" s="38">
        <f t="shared" si="35"/>
        <v>0.231</v>
      </c>
      <c r="BK77" s="38">
        <f t="shared" si="36"/>
        <v>0.333</v>
      </c>
      <c r="BL77" s="38">
        <f t="shared" si="37"/>
        <v>0.7273375</v>
      </c>
      <c r="BM77" s="38">
        <f t="shared" si="38"/>
        <v>0.513</v>
      </c>
      <c r="BN77" s="39">
        <f t="shared" si="39"/>
        <v>1</v>
      </c>
      <c r="BO77" s="38">
        <f t="shared" si="40"/>
        <v>0.7565</v>
      </c>
      <c r="BP77" s="38">
        <f t="shared" si="41"/>
        <v>0.821</v>
      </c>
      <c r="BQ77" s="38">
        <f t="shared" si="42"/>
        <v>0.9305</v>
      </c>
      <c r="BR77" s="40" t="str">
        <f t="shared" si="43"/>
        <v>High</v>
      </c>
      <c r="BS77" s="38">
        <f t="shared" si="44"/>
        <v>0.269216875</v>
      </c>
      <c r="BT77" s="40" t="str">
        <f t="shared" si="45"/>
        <v>Y</v>
      </c>
      <c r="BU77" s="40" t="str">
        <f t="shared" si="46"/>
        <v>Y</v>
      </c>
      <c r="BV77" s="40" t="str">
        <f t="shared" si="47"/>
        <v>Y</v>
      </c>
      <c r="BW77" s="40" t="str">
        <f t="shared" si="48"/>
        <v>N</v>
      </c>
      <c r="BX77" s="40" t="str">
        <f t="shared" si="49"/>
        <v>N</v>
      </c>
      <c r="BY77" s="39" t="str">
        <f t="shared" si="50"/>
        <v/>
      </c>
      <c r="BZ77" s="41" t="str">
        <f t="shared" si="51"/>
        <v/>
      </c>
      <c r="CA77" s="12">
        <f t="shared" ref="CA77:CG77" si="501">IF(ISNUMBER(F77),F77,IFERROR(VALUE(SUBSTITUTE(SUBSTITUTE(SUBSTITUTE(SUBSTITUTE(F77,"(","-"),")",""),",","")," ","")),"" ))</f>
        <v>252.45</v>
      </c>
      <c r="CB77" s="12">
        <f t="shared" si="501"/>
        <v>35005.64</v>
      </c>
      <c r="CC77" s="12">
        <f t="shared" si="501"/>
        <v>13.41</v>
      </c>
      <c r="CD77" s="12">
        <f t="shared" si="501"/>
        <v>28.05</v>
      </c>
      <c r="CE77" s="12">
        <f t="shared" si="501"/>
        <v>1.75</v>
      </c>
      <c r="CF77" s="12">
        <f t="shared" si="501"/>
        <v>1.96</v>
      </c>
      <c r="CG77" s="12">
        <f t="shared" si="501"/>
        <v>8.73</v>
      </c>
      <c r="CH77" s="12">
        <f t="shared" si="53"/>
        <v>18.48</v>
      </c>
      <c r="CI77" s="12">
        <f t="shared" ref="CI77:CK77" si="502">IF(ISNUMBER(M77),M77,IFERROR(VALUE(SUBSTITUTE(SUBSTITUTE(SUBSTITUTE(SUBSTITUTE(SUBSTITUTE(M77,"(","-"),")",""),"%",""),",","")," ","")),"" ))</f>
        <v>10.51</v>
      </c>
      <c r="CJ77" s="12">
        <f t="shared" si="502"/>
        <v>14.47</v>
      </c>
      <c r="CK77" s="12">
        <f t="shared" si="502"/>
        <v>4.68</v>
      </c>
      <c r="CL77" s="12">
        <f t="shared" si="55"/>
        <v>2</v>
      </c>
      <c r="CM77" s="12">
        <f t="shared" si="56"/>
        <v>7.59</v>
      </c>
      <c r="CN77" s="12">
        <f t="shared" ref="CN77:CO77" si="503">IF(ISNUMBER(R77),R77,IFERROR(VALUE(SUBSTITUTE(SUBSTITUTE(SUBSTITUTE(SUBSTITUTE(R77,"(","-"),")",""),",","")," ","")),"" ))</f>
        <v>7</v>
      </c>
      <c r="CO77" s="12">
        <f t="shared" si="503"/>
        <v>1.22</v>
      </c>
      <c r="CP77" s="12">
        <f t="shared" ref="CP77:CR77" si="504">IF(ISNUMBER(AC77),AC77,IFERROR(VALUE(SUBSTITUTE(SUBSTITUTE(SUBSTITUTE(SUBSTITUTE(AC77,"(","-"),")",""),",","")," ","")),"" ))</f>
        <v>3.76</v>
      </c>
      <c r="CQ77" s="12">
        <f t="shared" si="504"/>
        <v>0.6</v>
      </c>
      <c r="CR77" s="12">
        <f t="shared" si="504"/>
        <v>1.85</v>
      </c>
      <c r="CS77" s="12">
        <f t="shared" ref="CS77:CT77" si="505">IF(ISNUMBER(AF77),AF77,IFERROR(VALUE(SUBSTITUTE(SUBSTITUTE(SUBSTITUTE(SUBSTITUTE(SUBSTITUTE(AF77,"(","-"),")",""),"%",""),",","")," ","")),"" ))</f>
        <v>72.2</v>
      </c>
      <c r="CT77" s="12">
        <f t="shared" si="505"/>
        <v>0</v>
      </c>
      <c r="CU77" s="12">
        <f t="shared" si="60"/>
        <v>2011389</v>
      </c>
      <c r="CV77" s="12">
        <f t="shared" si="61"/>
        <v>9.33</v>
      </c>
      <c r="CW77" s="12">
        <f t="shared" ref="CW77:DA77" si="506">IF(ISNUMBER(W77),W77,IFERROR(VALUE(SUBSTITUTE(SUBSTITUTE(SUBSTITUTE(SUBSTITUTE(W77,"(","-"),")",""),",","")," ","")),"" ))</f>
        <v>256.96</v>
      </c>
      <c r="CX77" s="12">
        <f t="shared" si="506"/>
        <v>250.09</v>
      </c>
      <c r="CY77" s="12">
        <f t="shared" si="506"/>
        <v>30796.68</v>
      </c>
      <c r="CZ77" s="12">
        <f t="shared" si="506"/>
        <v>14583.5</v>
      </c>
      <c r="DA77" s="12">
        <f t="shared" si="506"/>
        <v>5683.32</v>
      </c>
    </row>
    <row r="78" ht="15.75" customHeight="1">
      <c r="A78" s="25">
        <v>77.0</v>
      </c>
      <c r="B78" s="26" t="s">
        <v>143</v>
      </c>
      <c r="C78" s="9" t="s">
        <v>67</v>
      </c>
      <c r="D78" s="10" t="s">
        <v>360</v>
      </c>
      <c r="E78" s="27" t="s">
        <v>361</v>
      </c>
      <c r="F78" s="28">
        <v>377.55</v>
      </c>
      <c r="G78" s="28">
        <v>366097.63</v>
      </c>
      <c r="H78" s="28">
        <v>15.14</v>
      </c>
      <c r="I78" s="28">
        <v>28.05</v>
      </c>
      <c r="J78" s="28">
        <v>1.91</v>
      </c>
      <c r="K78" s="28">
        <v>1.96</v>
      </c>
      <c r="L78" s="28">
        <v>9.2</v>
      </c>
      <c r="M78" s="28">
        <v>9.95</v>
      </c>
      <c r="N78" s="28">
        <v>12.13</v>
      </c>
      <c r="O78" s="28">
        <v>4.26</v>
      </c>
      <c r="P78" s="28">
        <v>3.0</v>
      </c>
      <c r="Q78" s="28">
        <v>7.74</v>
      </c>
      <c r="R78" s="28">
        <v>8.0</v>
      </c>
      <c r="S78" s="28">
        <v>1.33</v>
      </c>
      <c r="T78" s="28">
        <v>1.5480823E7</v>
      </c>
      <c r="U78" s="28">
        <v>1.2318279E7</v>
      </c>
      <c r="V78" s="28">
        <v>14.39</v>
      </c>
      <c r="W78" s="28">
        <v>356.7</v>
      </c>
      <c r="X78" s="28">
        <v>343.52</v>
      </c>
      <c r="Y78" s="28">
        <v>211919.21</v>
      </c>
      <c r="Z78" s="28">
        <v>67839.72</v>
      </c>
      <c r="AA78" s="28">
        <v>41220.33</v>
      </c>
      <c r="AB78" s="28">
        <v>26.64</v>
      </c>
      <c r="AC78" s="28">
        <v>3.46</v>
      </c>
      <c r="AD78" s="28">
        <v>0.7</v>
      </c>
      <c r="AE78" s="28">
        <v>2.19</v>
      </c>
      <c r="AF78" s="28">
        <v>51.1</v>
      </c>
      <c r="AG78" s="28">
        <v>0.0</v>
      </c>
      <c r="AH78" s="29">
        <f t="shared" si="7"/>
        <v>0.5397504456</v>
      </c>
      <c r="AI78" s="29">
        <f t="shared" si="8"/>
        <v>0.9744897959</v>
      </c>
      <c r="AJ78" s="29">
        <f t="shared" si="9"/>
        <v>1.099062646</v>
      </c>
      <c r="AK78" s="29">
        <f t="shared" si="10"/>
        <v>0.5788598249</v>
      </c>
      <c r="AL78" s="29">
        <f t="shared" si="11"/>
        <v>0.1853049964</v>
      </c>
      <c r="AM78" s="29">
        <f t="shared" si="12"/>
        <v>0.1125938182</v>
      </c>
      <c r="AN78" s="29">
        <f t="shared" si="13"/>
        <v>0.808</v>
      </c>
      <c r="AO78" s="29">
        <f t="shared" si="14"/>
        <v>0.885</v>
      </c>
      <c r="AP78" s="29">
        <f t="shared" si="15"/>
        <v>0.744</v>
      </c>
      <c r="AQ78" s="29">
        <f t="shared" si="16"/>
        <v>0.731</v>
      </c>
      <c r="AR78" s="29">
        <f t="shared" si="17"/>
        <v>0.513</v>
      </c>
      <c r="AS78" s="29">
        <f t="shared" si="18"/>
        <v>0.885</v>
      </c>
      <c r="AT78" s="29">
        <f t="shared" si="19"/>
        <v>0.692</v>
      </c>
      <c r="AU78" s="29">
        <f t="shared" si="20"/>
        <v>0.748025</v>
      </c>
      <c r="AV78" s="29">
        <f t="shared" si="21"/>
        <v>0.026</v>
      </c>
      <c r="AW78" s="29">
        <f t="shared" si="22"/>
        <v>0.09</v>
      </c>
      <c r="AX78" s="29">
        <f t="shared" si="23"/>
        <v>0.077</v>
      </c>
      <c r="AY78" s="29">
        <f t="shared" si="24"/>
        <v>0.551</v>
      </c>
      <c r="AZ78" s="29">
        <f t="shared" si="25"/>
        <v>0.128</v>
      </c>
      <c r="BA78" s="29">
        <f t="shared" si="26"/>
        <v>0.19555</v>
      </c>
      <c r="BB78" s="29">
        <f t="shared" si="27"/>
        <v>0</v>
      </c>
      <c r="BC78" s="29">
        <f t="shared" si="28"/>
        <v>0.128</v>
      </c>
      <c r="BD78" s="29">
        <f t="shared" si="29"/>
        <v>0.167</v>
      </c>
      <c r="BE78" s="29">
        <f t="shared" si="30"/>
        <v>0.038</v>
      </c>
      <c r="BF78" s="29">
        <f t="shared" si="31"/>
        <v>1</v>
      </c>
      <c r="BG78" s="29">
        <f t="shared" si="32"/>
        <v>0.179</v>
      </c>
      <c r="BH78" s="29">
        <f t="shared" si="33"/>
        <v>0.1633</v>
      </c>
      <c r="BI78" s="29">
        <f t="shared" si="34"/>
        <v>0.115</v>
      </c>
      <c r="BJ78" s="29">
        <f t="shared" si="35"/>
        <v>0.308</v>
      </c>
      <c r="BK78" s="29">
        <f t="shared" si="36"/>
        <v>0.679</v>
      </c>
      <c r="BL78" s="29">
        <f t="shared" si="37"/>
        <v>0.503475</v>
      </c>
      <c r="BM78" s="29">
        <f t="shared" si="38"/>
        <v>0.654</v>
      </c>
      <c r="BN78" s="30">
        <f t="shared" si="39"/>
        <v>1</v>
      </c>
      <c r="BO78" s="29">
        <f t="shared" si="40"/>
        <v>0.827</v>
      </c>
      <c r="BP78" s="29">
        <f t="shared" si="41"/>
        <v>0.949</v>
      </c>
      <c r="BQ78" s="29">
        <f t="shared" si="42"/>
        <v>0.9271</v>
      </c>
      <c r="BR78" s="31" t="str">
        <f t="shared" si="43"/>
        <v>High</v>
      </c>
      <c r="BS78" s="29">
        <f t="shared" si="44"/>
        <v>0.18872375</v>
      </c>
      <c r="BT78" s="31" t="str">
        <f t="shared" si="45"/>
        <v>Y</v>
      </c>
      <c r="BU78" s="31" t="str">
        <f t="shared" si="46"/>
        <v>Y</v>
      </c>
      <c r="BV78" s="31" t="str">
        <f t="shared" si="47"/>
        <v>Y</v>
      </c>
      <c r="BW78" s="31" t="str">
        <f t="shared" si="48"/>
        <v>N</v>
      </c>
      <c r="BX78" s="31" t="str">
        <f t="shared" si="49"/>
        <v>N</v>
      </c>
      <c r="BY78" s="30" t="str">
        <f t="shared" si="50"/>
        <v/>
      </c>
      <c r="BZ78" s="32" t="str">
        <f t="shared" si="51"/>
        <v/>
      </c>
      <c r="CA78" s="9">
        <f t="shared" ref="CA78:CG78" si="507">IF(ISNUMBER(F78),F78,IFERROR(VALUE(SUBSTITUTE(SUBSTITUTE(SUBSTITUTE(SUBSTITUTE(F78,"(","-"),")",""),",","")," ","")),"" ))</f>
        <v>377.55</v>
      </c>
      <c r="CB78" s="9">
        <f t="shared" si="507"/>
        <v>366097.63</v>
      </c>
      <c r="CC78" s="9">
        <f t="shared" si="507"/>
        <v>15.14</v>
      </c>
      <c r="CD78" s="9">
        <f t="shared" si="507"/>
        <v>28.05</v>
      </c>
      <c r="CE78" s="9">
        <f t="shared" si="507"/>
        <v>1.91</v>
      </c>
      <c r="CF78" s="9">
        <f t="shared" si="507"/>
        <v>1.96</v>
      </c>
      <c r="CG78" s="9">
        <f t="shared" si="507"/>
        <v>9.2</v>
      </c>
      <c r="CH78" s="9">
        <f t="shared" si="53"/>
        <v>26.64</v>
      </c>
      <c r="CI78" s="9">
        <f t="shared" ref="CI78:CK78" si="508">IF(ISNUMBER(M78),M78,IFERROR(VALUE(SUBSTITUTE(SUBSTITUTE(SUBSTITUTE(SUBSTITUTE(SUBSTITUTE(M78,"(","-"),")",""),"%",""),",","")," ","")),"" ))</f>
        <v>9.95</v>
      </c>
      <c r="CJ78" s="9">
        <f t="shared" si="508"/>
        <v>12.13</v>
      </c>
      <c r="CK78" s="9">
        <f t="shared" si="508"/>
        <v>4.26</v>
      </c>
      <c r="CL78" s="9">
        <f t="shared" si="55"/>
        <v>3</v>
      </c>
      <c r="CM78" s="9">
        <f t="shared" si="56"/>
        <v>7.74</v>
      </c>
      <c r="CN78" s="9">
        <f t="shared" ref="CN78:CO78" si="509">IF(ISNUMBER(R78),R78,IFERROR(VALUE(SUBSTITUTE(SUBSTITUTE(SUBSTITUTE(SUBSTITUTE(R78,"(","-"),")",""),",","")," ","")),"" ))</f>
        <v>8</v>
      </c>
      <c r="CO78" s="9">
        <f t="shared" si="509"/>
        <v>1.33</v>
      </c>
      <c r="CP78" s="9">
        <f t="shared" ref="CP78:CR78" si="510">IF(ISNUMBER(AC78),AC78,IFERROR(VALUE(SUBSTITUTE(SUBSTITUTE(SUBSTITUTE(SUBSTITUTE(AC78,"(","-"),")",""),",","")," ","")),"" ))</f>
        <v>3.46</v>
      </c>
      <c r="CQ78" s="9">
        <f t="shared" si="510"/>
        <v>0.7</v>
      </c>
      <c r="CR78" s="9">
        <f t="shared" si="510"/>
        <v>2.19</v>
      </c>
      <c r="CS78" s="9">
        <f t="shared" ref="CS78:CT78" si="511">IF(ISNUMBER(AF78),AF78,IFERROR(VALUE(SUBSTITUTE(SUBSTITUTE(SUBSTITUTE(SUBSTITUTE(SUBSTITUTE(AF78,"(","-"),")",""),"%",""),",","")," ","")),"" ))</f>
        <v>51.1</v>
      </c>
      <c r="CT78" s="9">
        <f t="shared" si="511"/>
        <v>0</v>
      </c>
      <c r="CU78" s="9">
        <f t="shared" si="60"/>
        <v>12318279</v>
      </c>
      <c r="CV78" s="9">
        <f t="shared" si="61"/>
        <v>14.39</v>
      </c>
      <c r="CW78" s="9">
        <f t="shared" ref="CW78:DA78" si="512">IF(ISNUMBER(W78),W78,IFERROR(VALUE(SUBSTITUTE(SUBSTITUTE(SUBSTITUTE(SUBSTITUTE(W78,"(","-"),")",""),",","")," ","")),"" ))</f>
        <v>356.7</v>
      </c>
      <c r="CX78" s="9">
        <f t="shared" si="512"/>
        <v>343.52</v>
      </c>
      <c r="CY78" s="9">
        <f t="shared" si="512"/>
        <v>211919.21</v>
      </c>
      <c r="CZ78" s="9">
        <f t="shared" si="512"/>
        <v>67839.72</v>
      </c>
      <c r="DA78" s="9">
        <f t="shared" si="512"/>
        <v>41220.33</v>
      </c>
    </row>
    <row r="79" ht="15.75" customHeight="1">
      <c r="A79" s="33">
        <v>78.0</v>
      </c>
      <c r="B79" s="34" t="s">
        <v>362</v>
      </c>
      <c r="C79" s="12" t="s">
        <v>67</v>
      </c>
      <c r="D79" s="13" t="s">
        <v>363</v>
      </c>
      <c r="E79" s="35" t="s">
        <v>364</v>
      </c>
      <c r="F79" s="36">
        <v>149.9</v>
      </c>
      <c r="G79" s="36">
        <v>1013.01</v>
      </c>
      <c r="H79" s="36">
        <v>12.51</v>
      </c>
      <c r="I79" s="36">
        <v>28.45</v>
      </c>
      <c r="J79" s="36">
        <v>4.15</v>
      </c>
      <c r="K79" s="36">
        <v>2.72</v>
      </c>
      <c r="L79" s="36">
        <v>28.64</v>
      </c>
      <c r="M79" s="36">
        <v>9.15</v>
      </c>
      <c r="N79" s="36">
        <v>49.71</v>
      </c>
      <c r="O79" s="36">
        <v>24.17</v>
      </c>
      <c r="P79" s="36">
        <v>4.0</v>
      </c>
      <c r="Q79" s="36">
        <v>2.35</v>
      </c>
      <c r="R79" s="36">
        <v>8.0</v>
      </c>
      <c r="S79" s="36">
        <v>0.21</v>
      </c>
      <c r="T79" s="36">
        <v>61438.0</v>
      </c>
      <c r="U79" s="36">
        <v>40877.0</v>
      </c>
      <c r="V79" s="36">
        <v>29.42</v>
      </c>
      <c r="W79" s="36">
        <v>139.27</v>
      </c>
      <c r="X79" s="36">
        <v>125.24</v>
      </c>
      <c r="Y79" s="36">
        <v>25.46</v>
      </c>
      <c r="Z79" s="36">
        <v>38.58</v>
      </c>
      <c r="AA79" s="36">
        <v>36.64</v>
      </c>
      <c r="AB79" s="36">
        <v>82.97</v>
      </c>
      <c r="AC79" s="36">
        <v>5.01</v>
      </c>
      <c r="AD79" s="36">
        <v>2.39</v>
      </c>
      <c r="AE79" s="36">
        <v>7.11</v>
      </c>
      <c r="AF79" s="36">
        <v>84.11</v>
      </c>
      <c r="AG79" s="36">
        <v>0.0</v>
      </c>
      <c r="AH79" s="38">
        <f t="shared" si="7"/>
        <v>0.4397188049</v>
      </c>
      <c r="AI79" s="38">
        <f t="shared" si="8"/>
        <v>1.525735294</v>
      </c>
      <c r="AJ79" s="38">
        <f t="shared" si="9"/>
        <v>1.196901948</v>
      </c>
      <c r="AK79" s="38">
        <f t="shared" si="10"/>
        <v>0.02513301942</v>
      </c>
      <c r="AL79" s="38">
        <f t="shared" si="11"/>
        <v>0.03808452039</v>
      </c>
      <c r="AM79" s="38">
        <f t="shared" si="12"/>
        <v>0.03616943564</v>
      </c>
      <c r="AN79" s="38">
        <f t="shared" si="13"/>
        <v>0.885</v>
      </c>
      <c r="AO79" s="38">
        <f t="shared" si="14"/>
        <v>0.359</v>
      </c>
      <c r="AP79" s="38">
        <f t="shared" si="15"/>
        <v>0.026</v>
      </c>
      <c r="AQ79" s="38">
        <f t="shared" si="16"/>
        <v>0.013</v>
      </c>
      <c r="AR79" s="38">
        <f t="shared" si="17"/>
        <v>0.179</v>
      </c>
      <c r="AS79" s="38">
        <f t="shared" si="18"/>
        <v>0.962</v>
      </c>
      <c r="AT79" s="38">
        <f t="shared" si="19"/>
        <v>0.41</v>
      </c>
      <c r="AU79" s="38">
        <f t="shared" si="20"/>
        <v>0.36775</v>
      </c>
      <c r="AV79" s="38">
        <f t="shared" si="21"/>
        <v>0.013</v>
      </c>
      <c r="AW79" s="38">
        <f t="shared" si="22"/>
        <v>0.949</v>
      </c>
      <c r="AX79" s="38">
        <f t="shared" si="23"/>
        <v>0.923</v>
      </c>
      <c r="AY79" s="38">
        <f t="shared" si="24"/>
        <v>0.551</v>
      </c>
      <c r="AZ79" s="38">
        <f t="shared" si="25"/>
        <v>0.308</v>
      </c>
      <c r="BA79" s="38">
        <f t="shared" si="26"/>
        <v>0.4847</v>
      </c>
      <c r="BB79" s="38">
        <f t="shared" si="27"/>
        <v>0.526</v>
      </c>
      <c r="BC79" s="38">
        <f t="shared" si="28"/>
        <v>0.269</v>
      </c>
      <c r="BD79" s="38">
        <f t="shared" si="29"/>
        <v>0.718</v>
      </c>
      <c r="BE79" s="38">
        <f t="shared" si="30"/>
        <v>0.705</v>
      </c>
      <c r="BF79" s="38">
        <f t="shared" si="31"/>
        <v>1</v>
      </c>
      <c r="BG79" s="38">
        <f t="shared" si="32"/>
        <v>1</v>
      </c>
      <c r="BH79" s="38">
        <f t="shared" si="33"/>
        <v>0.6462</v>
      </c>
      <c r="BI79" s="38">
        <f t="shared" si="34"/>
        <v>0.038</v>
      </c>
      <c r="BJ79" s="38">
        <f t="shared" si="35"/>
        <v>0.59</v>
      </c>
      <c r="BK79" s="38">
        <f t="shared" si="36"/>
        <v>0.846</v>
      </c>
      <c r="BL79" s="38">
        <f t="shared" si="37"/>
        <v>0.91155</v>
      </c>
      <c r="BM79" s="38">
        <f t="shared" si="38"/>
        <v>0.821</v>
      </c>
      <c r="BN79" s="39">
        <f t="shared" si="39"/>
        <v>1</v>
      </c>
      <c r="BO79" s="38">
        <f t="shared" si="40"/>
        <v>0.9105</v>
      </c>
      <c r="BP79" s="38">
        <f t="shared" si="41"/>
        <v>0.167</v>
      </c>
      <c r="BQ79" s="38">
        <f t="shared" si="42"/>
        <v>0.3194</v>
      </c>
      <c r="BR79" s="40" t="str">
        <f t="shared" si="43"/>
        <v>High</v>
      </c>
      <c r="BS79" s="38">
        <f t="shared" si="44"/>
        <v>0.4427275</v>
      </c>
      <c r="BT79" s="40" t="str">
        <f t="shared" si="45"/>
        <v>N</v>
      </c>
      <c r="BU79" s="40" t="str">
        <f t="shared" si="46"/>
        <v>Y</v>
      </c>
      <c r="BV79" s="40" t="str">
        <f t="shared" si="47"/>
        <v>Y</v>
      </c>
      <c r="BW79" s="40" t="str">
        <f t="shared" si="48"/>
        <v>Y</v>
      </c>
      <c r="BX79" s="40" t="str">
        <f t="shared" si="49"/>
        <v>N</v>
      </c>
      <c r="BY79" s="39" t="str">
        <f t="shared" si="50"/>
        <v/>
      </c>
      <c r="BZ79" s="41" t="str">
        <f t="shared" si="51"/>
        <v/>
      </c>
      <c r="CA79" s="12">
        <f t="shared" ref="CA79:CG79" si="513">IF(ISNUMBER(F79),F79,IFERROR(VALUE(SUBSTITUTE(SUBSTITUTE(SUBSTITUTE(SUBSTITUTE(F79,"(","-"),")",""),",","")," ","")),"" ))</f>
        <v>149.9</v>
      </c>
      <c r="CB79" s="12">
        <f t="shared" si="513"/>
        <v>1013.01</v>
      </c>
      <c r="CC79" s="12">
        <f t="shared" si="513"/>
        <v>12.51</v>
      </c>
      <c r="CD79" s="12">
        <f t="shared" si="513"/>
        <v>28.45</v>
      </c>
      <c r="CE79" s="12">
        <f t="shared" si="513"/>
        <v>4.15</v>
      </c>
      <c r="CF79" s="12">
        <f t="shared" si="513"/>
        <v>2.72</v>
      </c>
      <c r="CG79" s="12">
        <f t="shared" si="513"/>
        <v>28.64</v>
      </c>
      <c r="CH79" s="12">
        <f t="shared" si="53"/>
        <v>82.97</v>
      </c>
      <c r="CI79" s="12">
        <f t="shared" ref="CI79:CK79" si="514">IF(ISNUMBER(M79),M79,IFERROR(VALUE(SUBSTITUTE(SUBSTITUTE(SUBSTITUTE(SUBSTITUTE(SUBSTITUTE(M79,"(","-"),")",""),"%",""),",","")," ","")),"" ))</f>
        <v>9.15</v>
      </c>
      <c r="CJ79" s="12">
        <f t="shared" si="514"/>
        <v>49.71</v>
      </c>
      <c r="CK79" s="12">
        <f t="shared" si="514"/>
        <v>24.17</v>
      </c>
      <c r="CL79" s="12">
        <f t="shared" si="55"/>
        <v>4</v>
      </c>
      <c r="CM79" s="12">
        <f t="shared" si="56"/>
        <v>2.35</v>
      </c>
      <c r="CN79" s="12">
        <f t="shared" ref="CN79:CO79" si="515">IF(ISNUMBER(R79),R79,IFERROR(VALUE(SUBSTITUTE(SUBSTITUTE(SUBSTITUTE(SUBSTITUTE(R79,"(","-"),")",""),",","")," ","")),"" ))</f>
        <v>8</v>
      </c>
      <c r="CO79" s="12">
        <f t="shared" si="515"/>
        <v>0.21</v>
      </c>
      <c r="CP79" s="12">
        <f t="shared" ref="CP79:CR79" si="516">IF(ISNUMBER(AC79),AC79,IFERROR(VALUE(SUBSTITUTE(SUBSTITUTE(SUBSTITUTE(SUBSTITUTE(AC79,"(","-"),")",""),",","")," ","")),"" ))</f>
        <v>5.01</v>
      </c>
      <c r="CQ79" s="12">
        <f t="shared" si="516"/>
        <v>2.39</v>
      </c>
      <c r="CR79" s="12">
        <f t="shared" si="516"/>
        <v>7.11</v>
      </c>
      <c r="CS79" s="12">
        <f t="shared" ref="CS79:CT79" si="517">IF(ISNUMBER(AF79),AF79,IFERROR(VALUE(SUBSTITUTE(SUBSTITUTE(SUBSTITUTE(SUBSTITUTE(SUBSTITUTE(AF79,"(","-"),")",""),"%",""),",","")," ","")),"" ))</f>
        <v>84.11</v>
      </c>
      <c r="CT79" s="12">
        <f t="shared" si="517"/>
        <v>0</v>
      </c>
      <c r="CU79" s="12">
        <f t="shared" si="60"/>
        <v>40877</v>
      </c>
      <c r="CV79" s="12">
        <f t="shared" si="61"/>
        <v>29.42</v>
      </c>
      <c r="CW79" s="12">
        <f t="shared" ref="CW79:DA79" si="518">IF(ISNUMBER(W79),W79,IFERROR(VALUE(SUBSTITUTE(SUBSTITUTE(SUBSTITUTE(SUBSTITUTE(W79,"(","-"),")",""),",","")," ","")),"" ))</f>
        <v>139.27</v>
      </c>
      <c r="CX79" s="12">
        <f t="shared" si="518"/>
        <v>125.24</v>
      </c>
      <c r="CY79" s="12">
        <f t="shared" si="518"/>
        <v>25.46</v>
      </c>
      <c r="CZ79" s="12">
        <f t="shared" si="518"/>
        <v>38.58</v>
      </c>
      <c r="DA79" s="12">
        <f t="shared" si="518"/>
        <v>36.64</v>
      </c>
    </row>
    <row r="80" ht="15.75" customHeight="1">
      <c r="A80" s="46">
        <v>79.0</v>
      </c>
      <c r="B80" s="26" t="s">
        <v>131</v>
      </c>
      <c r="C80" s="9" t="s">
        <v>63</v>
      </c>
      <c r="D80" s="10" t="s">
        <v>132</v>
      </c>
      <c r="E80" s="47" t="s">
        <v>133</v>
      </c>
      <c r="F80" s="48">
        <v>459.75</v>
      </c>
      <c r="G80" s="48">
        <v>3090.78</v>
      </c>
      <c r="H80" s="48">
        <v>18.41</v>
      </c>
      <c r="I80" s="48">
        <v>32.47</v>
      </c>
      <c r="J80" s="48">
        <v>8.0</v>
      </c>
      <c r="K80" s="48">
        <v>5.21</v>
      </c>
      <c r="L80" s="48">
        <v>12.67</v>
      </c>
      <c r="M80" s="48">
        <v>6.09</v>
      </c>
      <c r="N80" s="48">
        <v>105.32</v>
      </c>
      <c r="O80" s="48">
        <v>8.84</v>
      </c>
      <c r="P80" s="48">
        <v>3.0</v>
      </c>
      <c r="Q80" s="48">
        <v>7.46</v>
      </c>
      <c r="R80" s="48">
        <v>9.0</v>
      </c>
      <c r="S80" s="48">
        <v>0.05</v>
      </c>
      <c r="T80" s="48">
        <v>253751.0</v>
      </c>
      <c r="U80" s="48">
        <v>724646.0</v>
      </c>
      <c r="V80" s="48">
        <v>27.21</v>
      </c>
      <c r="W80" s="48">
        <v>382.66</v>
      </c>
      <c r="X80" s="48">
        <v>338.26</v>
      </c>
      <c r="Y80" s="48">
        <v>163.35</v>
      </c>
      <c r="Z80" s="48">
        <v>152.89</v>
      </c>
      <c r="AA80" s="48">
        <v>581.45</v>
      </c>
      <c r="AB80" s="48">
        <v>15.94</v>
      </c>
      <c r="AC80" s="48">
        <v>11.69</v>
      </c>
      <c r="AD80" s="48">
        <v>1.12</v>
      </c>
      <c r="AE80" s="48">
        <v>4.04</v>
      </c>
      <c r="AF80" s="48">
        <v>68.58</v>
      </c>
      <c r="AG80" s="48">
        <v>0.0</v>
      </c>
      <c r="AH80" s="29">
        <f t="shared" si="7"/>
        <v>0.5669849091</v>
      </c>
      <c r="AI80" s="29">
        <f t="shared" si="8"/>
        <v>1.535508637</v>
      </c>
      <c r="AJ80" s="29">
        <f t="shared" si="9"/>
        <v>1.359161592</v>
      </c>
      <c r="AK80" s="29">
        <f t="shared" si="10"/>
        <v>0.05285073671</v>
      </c>
      <c r="AL80" s="29">
        <f t="shared" si="11"/>
        <v>0.04946647772</v>
      </c>
      <c r="AM80" s="29">
        <f t="shared" si="12"/>
        <v>0.1881240334</v>
      </c>
      <c r="AN80" s="29">
        <f t="shared" si="13"/>
        <v>0.628</v>
      </c>
      <c r="AO80" s="29">
        <f t="shared" si="14"/>
        <v>0.038</v>
      </c>
      <c r="AP80" s="29">
        <f t="shared" si="15"/>
        <v>0.449</v>
      </c>
      <c r="AQ80" s="29">
        <f t="shared" si="16"/>
        <v>0.667</v>
      </c>
      <c r="AR80" s="29">
        <f t="shared" si="17"/>
        <v>0.744</v>
      </c>
      <c r="AS80" s="29">
        <f t="shared" si="18"/>
        <v>0.872</v>
      </c>
      <c r="AT80" s="29">
        <f t="shared" si="19"/>
        <v>0.397</v>
      </c>
      <c r="AU80" s="29">
        <f t="shared" si="20"/>
        <v>0.527925</v>
      </c>
      <c r="AV80" s="29">
        <f t="shared" si="21"/>
        <v>0</v>
      </c>
      <c r="AW80" s="29">
        <f t="shared" si="22"/>
        <v>1</v>
      </c>
      <c r="AX80" s="29">
        <f t="shared" si="23"/>
        <v>0.449</v>
      </c>
      <c r="AY80" s="29">
        <f t="shared" si="24"/>
        <v>0.897</v>
      </c>
      <c r="AZ80" s="29">
        <f t="shared" si="25"/>
        <v>0.128</v>
      </c>
      <c r="BA80" s="29">
        <f t="shared" si="26"/>
        <v>0.49475</v>
      </c>
      <c r="BB80" s="29">
        <f t="shared" si="27"/>
        <v>0.692</v>
      </c>
      <c r="BC80" s="29">
        <f t="shared" si="28"/>
        <v>0.5</v>
      </c>
      <c r="BD80" s="29">
        <f t="shared" si="29"/>
        <v>0.41</v>
      </c>
      <c r="BE80" s="29">
        <f t="shared" si="30"/>
        <v>0.154</v>
      </c>
      <c r="BF80" s="29">
        <f t="shared" si="31"/>
        <v>1</v>
      </c>
      <c r="BG80" s="29">
        <f t="shared" si="32"/>
        <v>0.654</v>
      </c>
      <c r="BH80" s="29">
        <f t="shared" si="33"/>
        <v>0.5275</v>
      </c>
      <c r="BI80" s="29">
        <f t="shared" si="34"/>
        <v>0.128</v>
      </c>
      <c r="BJ80" s="29">
        <f t="shared" si="35"/>
        <v>0.603</v>
      </c>
      <c r="BK80" s="29">
        <f t="shared" si="36"/>
        <v>0.962</v>
      </c>
      <c r="BL80" s="29">
        <f t="shared" si="37"/>
        <v>0.760775</v>
      </c>
      <c r="BM80" s="29">
        <f t="shared" si="38"/>
        <v>0.808</v>
      </c>
      <c r="BN80" s="30">
        <f t="shared" si="39"/>
        <v>1</v>
      </c>
      <c r="BO80" s="29">
        <f t="shared" si="40"/>
        <v>0.904</v>
      </c>
      <c r="BP80" s="29">
        <f t="shared" si="41"/>
        <v>0.667</v>
      </c>
      <c r="BQ80" s="29">
        <f t="shared" si="42"/>
        <v>0.7037</v>
      </c>
      <c r="BR80" s="31" t="str">
        <f t="shared" si="43"/>
        <v>High</v>
      </c>
      <c r="BS80" s="29">
        <f t="shared" si="44"/>
        <v>0.44148875</v>
      </c>
      <c r="BT80" s="31" t="str">
        <f t="shared" si="45"/>
        <v>Y</v>
      </c>
      <c r="BU80" s="31" t="str">
        <f t="shared" si="46"/>
        <v>Y</v>
      </c>
      <c r="BV80" s="31" t="str">
        <f t="shared" si="47"/>
        <v>Y</v>
      </c>
      <c r="BW80" s="31" t="str">
        <f t="shared" si="48"/>
        <v>Y</v>
      </c>
      <c r="BX80" s="31" t="str">
        <f t="shared" si="49"/>
        <v>Y</v>
      </c>
      <c r="BY80" s="30">
        <f t="shared" si="50"/>
        <v>24</v>
      </c>
      <c r="BZ80" s="32">
        <f t="shared" si="51"/>
        <v>0.04</v>
      </c>
      <c r="CA80" s="9">
        <f t="shared" ref="CA80:CG80" si="519">IF(ISNUMBER(F80),F80,IFERROR(VALUE(SUBSTITUTE(SUBSTITUTE(SUBSTITUTE(SUBSTITUTE(F80,"(","-"),")",""),",","")," ","")),"" ))</f>
        <v>459.75</v>
      </c>
      <c r="CB80" s="9">
        <f t="shared" si="519"/>
        <v>3090.78</v>
      </c>
      <c r="CC80" s="9">
        <f t="shared" si="519"/>
        <v>18.41</v>
      </c>
      <c r="CD80" s="9">
        <f t="shared" si="519"/>
        <v>32.47</v>
      </c>
      <c r="CE80" s="9">
        <f t="shared" si="519"/>
        <v>8</v>
      </c>
      <c r="CF80" s="9">
        <f t="shared" si="519"/>
        <v>5.21</v>
      </c>
      <c r="CG80" s="9">
        <f t="shared" si="519"/>
        <v>12.67</v>
      </c>
      <c r="CH80" s="9">
        <f t="shared" si="53"/>
        <v>15.94</v>
      </c>
      <c r="CI80" s="9">
        <f t="shared" ref="CI80:CK80" si="520">IF(ISNUMBER(M80),M80,IFERROR(VALUE(SUBSTITUTE(SUBSTITUTE(SUBSTITUTE(SUBSTITUTE(SUBSTITUTE(M80,"(","-"),")",""),"%",""),",","")," ","")),"" ))</f>
        <v>6.09</v>
      </c>
      <c r="CJ80" s="9">
        <f t="shared" si="520"/>
        <v>105.32</v>
      </c>
      <c r="CK80" s="9">
        <f t="shared" si="520"/>
        <v>8.84</v>
      </c>
      <c r="CL80" s="9">
        <f t="shared" si="55"/>
        <v>3</v>
      </c>
      <c r="CM80" s="9">
        <f t="shared" si="56"/>
        <v>7.46</v>
      </c>
      <c r="CN80" s="9">
        <f t="shared" ref="CN80:CO80" si="521">IF(ISNUMBER(R80),R80,IFERROR(VALUE(SUBSTITUTE(SUBSTITUTE(SUBSTITUTE(SUBSTITUTE(R80,"(","-"),")",""),",","")," ","")),"" ))</f>
        <v>9</v>
      </c>
      <c r="CO80" s="9">
        <f t="shared" si="521"/>
        <v>0.05</v>
      </c>
      <c r="CP80" s="9">
        <f t="shared" ref="CP80:CR80" si="522">IF(ISNUMBER(AC80),AC80,IFERROR(VALUE(SUBSTITUTE(SUBSTITUTE(SUBSTITUTE(SUBSTITUTE(AC80,"(","-"),")",""),",","")," ","")),"" ))</f>
        <v>11.69</v>
      </c>
      <c r="CQ80" s="9">
        <f t="shared" si="522"/>
        <v>1.12</v>
      </c>
      <c r="CR80" s="9">
        <f t="shared" si="522"/>
        <v>4.04</v>
      </c>
      <c r="CS80" s="9">
        <f t="shared" ref="CS80:CT80" si="523">IF(ISNUMBER(AF80),AF80,IFERROR(VALUE(SUBSTITUTE(SUBSTITUTE(SUBSTITUTE(SUBSTITUTE(SUBSTITUTE(AF80,"(","-"),")",""),"%",""),",","")," ","")),"" ))</f>
        <v>68.58</v>
      </c>
      <c r="CT80" s="9">
        <f t="shared" si="523"/>
        <v>0</v>
      </c>
      <c r="CU80" s="9">
        <f t="shared" si="60"/>
        <v>724646</v>
      </c>
      <c r="CV80" s="9">
        <f t="shared" si="61"/>
        <v>27.21</v>
      </c>
      <c r="CW80" s="9">
        <f t="shared" ref="CW80:DA80" si="524">IF(ISNUMBER(W80),W80,IFERROR(VALUE(SUBSTITUTE(SUBSTITUTE(SUBSTITUTE(SUBSTITUTE(W80,"(","-"),")",""),",","")," ","")),"" ))</f>
        <v>382.66</v>
      </c>
      <c r="CX80" s="9">
        <f t="shared" si="524"/>
        <v>338.26</v>
      </c>
      <c r="CY80" s="9">
        <f t="shared" si="524"/>
        <v>163.35</v>
      </c>
      <c r="CZ80" s="9">
        <f t="shared" si="524"/>
        <v>152.89</v>
      </c>
      <c r="DA80" s="9">
        <f t="shared" si="524"/>
        <v>581.45</v>
      </c>
    </row>
    <row r="81" ht="15.75" customHeight="1">
      <c r="A81" s="2"/>
      <c r="B81" s="2"/>
      <c r="C81" s="2"/>
      <c r="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</row>
    <row r="82" ht="15.75" customHeight="1">
      <c r="A82" s="2"/>
      <c r="B82" s="2"/>
      <c r="C82" s="2"/>
      <c r="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</row>
    <row r="83" ht="15.75" customHeight="1">
      <c r="A83" s="2"/>
      <c r="B83" s="2"/>
      <c r="C83" s="2"/>
      <c r="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</row>
    <row r="84" ht="15.75" customHeight="1">
      <c r="A84" s="2"/>
      <c r="B84" s="2"/>
      <c r="C84" s="2"/>
      <c r="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</row>
    <row r="85" ht="15.75" customHeight="1">
      <c r="A85" s="2"/>
      <c r="B85" s="2"/>
      <c r="C85" s="2"/>
      <c r="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</row>
    <row r="86" ht="15.75" customHeight="1">
      <c r="A86" s="2"/>
      <c r="B86" s="2"/>
      <c r="C86" s="2"/>
      <c r="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</row>
    <row r="87" ht="15.75" customHeight="1">
      <c r="A87" s="2"/>
      <c r="B87" s="2"/>
      <c r="C87" s="2"/>
      <c r="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</row>
    <row r="88" ht="15.75" customHeight="1">
      <c r="A88" s="2"/>
      <c r="B88" s="2"/>
      <c r="C88" s="2"/>
      <c r="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</row>
    <row r="89" ht="15.75" customHeight="1">
      <c r="A89" s="2"/>
      <c r="B89" s="2"/>
      <c r="C89" s="2"/>
      <c r="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</row>
    <row r="90" ht="15.75" customHeight="1">
      <c r="A90" s="2"/>
      <c r="B90" s="2"/>
      <c r="C90" s="2"/>
      <c r="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</row>
    <row r="91" ht="15.75" customHeight="1">
      <c r="A91" s="2"/>
      <c r="B91" s="2"/>
      <c r="C91" s="2"/>
      <c r="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</row>
    <row r="92" ht="15.75" customHeight="1">
      <c r="A92" s="2"/>
      <c r="B92" s="2"/>
      <c r="C92" s="2"/>
      <c r="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ht="15.75" customHeight="1">
      <c r="A93" s="2"/>
      <c r="B93" s="2"/>
      <c r="C93" s="2"/>
      <c r="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ht="15.75" customHeight="1">
      <c r="A94" s="2"/>
      <c r="B94" s="2"/>
      <c r="C94" s="2"/>
      <c r="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ht="15.75" customHeight="1">
      <c r="A95" s="2"/>
      <c r="B95" s="2"/>
      <c r="C95" s="2"/>
      <c r="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</row>
    <row r="96" ht="15.75" customHeight="1">
      <c r="A96" s="2"/>
      <c r="B96" s="2"/>
      <c r="C96" s="2"/>
      <c r="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</row>
    <row r="97" ht="15.75" customHeight="1">
      <c r="A97" s="2"/>
      <c r="B97" s="2"/>
      <c r="C97" s="2"/>
      <c r="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</row>
    <row r="98" ht="15.75" customHeight="1">
      <c r="A98" s="2"/>
      <c r="B98" s="2"/>
      <c r="C98" s="2"/>
      <c r="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</row>
    <row r="99" ht="15.75" customHeight="1">
      <c r="A99" s="2"/>
      <c r="B99" s="2"/>
      <c r="C99" s="2"/>
      <c r="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ht="15.75" customHeight="1">
      <c r="A100" s="2"/>
      <c r="B100" s="2"/>
      <c r="C100" s="2"/>
      <c r="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ht="15.75" customHeight="1">
      <c r="A101" s="2"/>
      <c r="B101" s="2"/>
      <c r="C101" s="2"/>
      <c r="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ht="15.75" customHeight="1">
      <c r="A102" s="2"/>
      <c r="B102" s="2"/>
      <c r="C102" s="2"/>
      <c r="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ht="15.75" customHeight="1">
      <c r="A103" s="2"/>
      <c r="B103" s="2"/>
      <c r="C103" s="2"/>
      <c r="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ht="15.75" customHeight="1">
      <c r="A104" s="2"/>
      <c r="B104" s="2"/>
      <c r="C104" s="2"/>
      <c r="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ht="15.75" customHeight="1">
      <c r="A105" s="2"/>
      <c r="B105" s="2"/>
      <c r="C105" s="2"/>
      <c r="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ht="15.75" customHeight="1">
      <c r="A106" s="2"/>
      <c r="B106" s="2"/>
      <c r="C106" s="2"/>
      <c r="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ht="15.75" customHeight="1">
      <c r="A107" s="2"/>
      <c r="B107" s="2"/>
      <c r="C107" s="2"/>
      <c r="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ht="15.75" customHeight="1">
      <c r="A108" s="2"/>
      <c r="B108" s="2"/>
      <c r="C108" s="2"/>
      <c r="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ht="15.75" customHeight="1">
      <c r="A109" s="2"/>
      <c r="B109" s="2"/>
      <c r="C109" s="2"/>
      <c r="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ht="15.75" customHeight="1">
      <c r="A110" s="2"/>
      <c r="B110" s="2"/>
      <c r="C110" s="2"/>
      <c r="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ht="15.75" customHeight="1">
      <c r="A111" s="2"/>
      <c r="B111" s="2"/>
      <c r="C111" s="2"/>
      <c r="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ht="15.75" customHeight="1">
      <c r="A112" s="2"/>
      <c r="B112" s="2"/>
      <c r="C112" s="2"/>
      <c r="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ht="15.75" customHeight="1">
      <c r="A113" s="2"/>
      <c r="B113" s="2"/>
      <c r="C113" s="2"/>
      <c r="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ht="15.75" customHeight="1">
      <c r="A114" s="2"/>
      <c r="B114" s="2"/>
      <c r="C114" s="2"/>
      <c r="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ht="15.75" customHeight="1">
      <c r="A115" s="2"/>
      <c r="B115" s="2"/>
      <c r="C115" s="2"/>
      <c r="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ht="15.75" customHeight="1">
      <c r="A116" s="2"/>
      <c r="B116" s="2"/>
      <c r="C116" s="2"/>
      <c r="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ht="15.75" customHeight="1">
      <c r="A117" s="2"/>
      <c r="B117" s="2"/>
      <c r="C117" s="2"/>
      <c r="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ht="15.75" customHeight="1">
      <c r="A118" s="2"/>
      <c r="B118" s="2"/>
      <c r="C118" s="2"/>
      <c r="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ht="15.75" customHeight="1">
      <c r="A119" s="2"/>
      <c r="B119" s="2"/>
      <c r="C119" s="2"/>
      <c r="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ht="15.75" customHeight="1">
      <c r="A120" s="2"/>
      <c r="B120" s="2"/>
      <c r="C120" s="2"/>
      <c r="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ht="15.75" customHeight="1">
      <c r="A121" s="2"/>
      <c r="B121" s="2"/>
      <c r="C121" s="2"/>
      <c r="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ht="15.75" customHeight="1">
      <c r="A122" s="2"/>
      <c r="B122" s="2"/>
      <c r="C122" s="2"/>
      <c r="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ht="15.75" customHeight="1">
      <c r="A123" s="2"/>
      <c r="B123" s="2"/>
      <c r="C123" s="2"/>
      <c r="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ht="15.75" customHeight="1">
      <c r="A124" s="2"/>
      <c r="B124" s="2"/>
      <c r="C124" s="2"/>
      <c r="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ht="15.75" customHeight="1">
      <c r="A125" s="2"/>
      <c r="B125" s="2"/>
      <c r="C125" s="2"/>
      <c r="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ht="15.75" customHeight="1">
      <c r="A126" s="2"/>
      <c r="B126" s="2"/>
      <c r="C126" s="2"/>
      <c r="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ht="15.75" customHeight="1">
      <c r="A127" s="2"/>
      <c r="B127" s="2"/>
      <c r="C127" s="2"/>
      <c r="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ht="15.75" customHeight="1">
      <c r="A128" s="2"/>
      <c r="B128" s="2"/>
      <c r="C128" s="2"/>
      <c r="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ht="15.75" customHeight="1">
      <c r="A129" s="2"/>
      <c r="B129" s="2"/>
      <c r="C129" s="2"/>
      <c r="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ht="15.75" customHeight="1">
      <c r="A130" s="2"/>
      <c r="B130" s="2"/>
      <c r="C130" s="2"/>
      <c r="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ht="15.75" customHeight="1">
      <c r="A131" s="2"/>
      <c r="B131" s="2"/>
      <c r="C131" s="2"/>
      <c r="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ht="15.75" customHeight="1">
      <c r="A132" s="2"/>
      <c r="B132" s="2"/>
      <c r="C132" s="2"/>
      <c r="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ht="15.75" customHeight="1">
      <c r="A133" s="2"/>
      <c r="B133" s="2"/>
      <c r="C133" s="2"/>
      <c r="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ht="15.75" customHeight="1">
      <c r="A134" s="2"/>
      <c r="B134" s="2"/>
      <c r="C134" s="2"/>
      <c r="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</row>
    <row r="135" ht="15.75" customHeight="1">
      <c r="A135" s="2"/>
      <c r="B135" s="2"/>
      <c r="C135" s="2"/>
      <c r="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</row>
    <row r="136" ht="15.75" customHeight="1">
      <c r="A136" s="2"/>
      <c r="B136" s="2"/>
      <c r="C136" s="2"/>
      <c r="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</row>
    <row r="137" ht="15.75" customHeight="1">
      <c r="A137" s="2"/>
      <c r="B137" s="2"/>
      <c r="C137" s="2"/>
      <c r="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ht="15.75" customHeight="1">
      <c r="A138" s="2"/>
      <c r="B138" s="2"/>
      <c r="C138" s="2"/>
      <c r="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</row>
    <row r="139" ht="15.75" customHeight="1">
      <c r="A139" s="2"/>
      <c r="B139" s="2"/>
      <c r="C139" s="2"/>
      <c r="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</row>
    <row r="140" ht="15.75" customHeight="1">
      <c r="A140" s="2"/>
      <c r="B140" s="2"/>
      <c r="C140" s="2"/>
      <c r="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</row>
    <row r="141" ht="15.75" customHeight="1">
      <c r="A141" s="2"/>
      <c r="B141" s="2"/>
      <c r="C141" s="2"/>
      <c r="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ht="15.75" customHeight="1">
      <c r="A142" s="2"/>
      <c r="B142" s="2"/>
      <c r="C142" s="2"/>
      <c r="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</row>
    <row r="143" ht="15.75" customHeight="1">
      <c r="A143" s="2"/>
      <c r="B143" s="2"/>
      <c r="C143" s="2"/>
      <c r="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</row>
    <row r="144" ht="15.75" customHeight="1">
      <c r="A144" s="2"/>
      <c r="B144" s="2"/>
      <c r="C144" s="2"/>
      <c r="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</row>
    <row r="145" ht="15.75" customHeight="1">
      <c r="A145" s="2"/>
      <c r="B145" s="2"/>
      <c r="C145" s="2"/>
      <c r="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ht="15.75" customHeight="1">
      <c r="A146" s="2"/>
      <c r="B146" s="2"/>
      <c r="C146" s="2"/>
      <c r="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ht="15.75" customHeight="1">
      <c r="A147" s="2"/>
      <c r="B147" s="2"/>
      <c r="C147" s="2"/>
      <c r="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</row>
    <row r="148" ht="15.75" customHeight="1">
      <c r="A148" s="2"/>
      <c r="B148" s="2"/>
      <c r="C148" s="2"/>
      <c r="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</row>
    <row r="149" ht="15.75" customHeight="1">
      <c r="A149" s="2"/>
      <c r="B149" s="2"/>
      <c r="C149" s="2"/>
      <c r="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ht="15.75" customHeight="1">
      <c r="A150" s="2"/>
      <c r="B150" s="2"/>
      <c r="C150" s="2"/>
      <c r="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ht="15.75" customHeight="1">
      <c r="A151" s="2"/>
      <c r="B151" s="2"/>
      <c r="C151" s="2"/>
      <c r="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</row>
    <row r="152" ht="15.75" customHeight="1">
      <c r="A152" s="2"/>
      <c r="B152" s="2"/>
      <c r="C152" s="2"/>
      <c r="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ht="15.75" customHeight="1">
      <c r="A153" s="2"/>
      <c r="B153" s="2"/>
      <c r="C153" s="2"/>
      <c r="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</row>
    <row r="154" ht="15.75" customHeight="1">
      <c r="A154" s="2"/>
      <c r="B154" s="2"/>
      <c r="C154" s="2"/>
      <c r="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ht="15.75" customHeight="1">
      <c r="A155" s="2"/>
      <c r="B155" s="2"/>
      <c r="C155" s="2"/>
      <c r="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</row>
    <row r="156" ht="15.75" customHeight="1">
      <c r="A156" s="2"/>
      <c r="B156" s="2"/>
      <c r="C156" s="2"/>
      <c r="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</row>
    <row r="157" ht="15.75" customHeight="1">
      <c r="A157" s="2"/>
      <c r="B157" s="2"/>
      <c r="C157" s="2"/>
      <c r="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ht="15.75" customHeight="1">
      <c r="A158" s="2"/>
      <c r="B158" s="2"/>
      <c r="C158" s="2"/>
      <c r="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ht="15.75" customHeight="1">
      <c r="A159" s="2"/>
      <c r="B159" s="2"/>
      <c r="C159" s="2"/>
      <c r="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</row>
    <row r="160" ht="15.75" customHeight="1">
      <c r="A160" s="2"/>
      <c r="B160" s="2"/>
      <c r="C160" s="2"/>
      <c r="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</row>
    <row r="161" ht="15.75" customHeight="1">
      <c r="A161" s="2"/>
      <c r="B161" s="2"/>
      <c r="C161" s="2"/>
      <c r="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ht="15.75" customHeight="1">
      <c r="A162" s="2"/>
      <c r="B162" s="2"/>
      <c r="C162" s="2"/>
      <c r="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ht="15.75" customHeight="1">
      <c r="A163" s="2"/>
      <c r="B163" s="2"/>
      <c r="C163" s="2"/>
      <c r="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</row>
    <row r="164" ht="15.75" customHeight="1">
      <c r="A164" s="2"/>
      <c r="B164" s="2"/>
      <c r="C164" s="2"/>
      <c r="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</row>
    <row r="165" ht="15.75" customHeight="1">
      <c r="A165" s="2"/>
      <c r="B165" s="2"/>
      <c r="C165" s="2"/>
      <c r="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ht="15.75" customHeight="1">
      <c r="A166" s="2"/>
      <c r="B166" s="2"/>
      <c r="C166" s="2"/>
      <c r="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</row>
    <row r="167" ht="15.75" customHeight="1">
      <c r="A167" s="2"/>
      <c r="B167" s="2"/>
      <c r="C167" s="2"/>
      <c r="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</row>
    <row r="168" ht="15.75" customHeight="1">
      <c r="A168" s="2"/>
      <c r="B168" s="2"/>
      <c r="C168" s="2"/>
      <c r="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</row>
    <row r="169" ht="15.75" customHeight="1">
      <c r="A169" s="2"/>
      <c r="B169" s="2"/>
      <c r="C169" s="2"/>
      <c r="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ht="15.75" customHeight="1">
      <c r="A170" s="2"/>
      <c r="B170" s="2"/>
      <c r="C170" s="2"/>
      <c r="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</row>
    <row r="171" ht="15.75" customHeight="1">
      <c r="A171" s="2"/>
      <c r="B171" s="2"/>
      <c r="C171" s="2"/>
      <c r="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</row>
    <row r="172" ht="15.75" customHeight="1">
      <c r="A172" s="2"/>
      <c r="B172" s="2"/>
      <c r="C172" s="2"/>
      <c r="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</row>
    <row r="173" ht="15.75" customHeight="1">
      <c r="A173" s="2"/>
      <c r="B173" s="2"/>
      <c r="C173" s="2"/>
      <c r="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ht="15.75" customHeight="1">
      <c r="A174" s="2"/>
      <c r="B174" s="2"/>
      <c r="C174" s="2"/>
      <c r="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</row>
    <row r="175" ht="15.75" customHeight="1">
      <c r="A175" s="2"/>
      <c r="B175" s="2"/>
      <c r="C175" s="2"/>
      <c r="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</row>
    <row r="176" ht="15.75" customHeight="1">
      <c r="A176" s="2"/>
      <c r="B176" s="2"/>
      <c r="C176" s="2"/>
      <c r="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</row>
    <row r="177" ht="15.75" customHeight="1">
      <c r="A177" s="2"/>
      <c r="B177" s="2"/>
      <c r="C177" s="2"/>
      <c r="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</row>
    <row r="178" ht="15.75" customHeight="1">
      <c r="A178" s="2"/>
      <c r="B178" s="2"/>
      <c r="C178" s="2"/>
      <c r="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</row>
    <row r="179" ht="15.75" customHeight="1">
      <c r="A179" s="2"/>
      <c r="B179" s="2"/>
      <c r="C179" s="2"/>
      <c r="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</row>
    <row r="180" ht="15.75" customHeight="1">
      <c r="A180" s="2"/>
      <c r="B180" s="2"/>
      <c r="C180" s="2"/>
      <c r="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</row>
    <row r="181" ht="15.75" customHeight="1">
      <c r="A181" s="2"/>
      <c r="B181" s="2"/>
      <c r="C181" s="2"/>
      <c r="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</row>
    <row r="182" ht="15.75" customHeight="1">
      <c r="A182" s="2"/>
      <c r="B182" s="2"/>
      <c r="C182" s="2"/>
      <c r="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</row>
    <row r="183" ht="15.75" customHeight="1">
      <c r="A183" s="2"/>
      <c r="B183" s="2"/>
      <c r="C183" s="2"/>
      <c r="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</row>
    <row r="184" ht="15.75" customHeight="1">
      <c r="A184" s="2"/>
      <c r="B184" s="2"/>
      <c r="C184" s="2"/>
      <c r="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</row>
    <row r="185" ht="15.75" customHeight="1">
      <c r="A185" s="2"/>
      <c r="B185" s="2"/>
      <c r="C185" s="2"/>
      <c r="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</row>
    <row r="186" ht="15.75" customHeight="1">
      <c r="A186" s="2"/>
      <c r="B186" s="2"/>
      <c r="C186" s="2"/>
      <c r="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</row>
    <row r="187" ht="15.75" customHeight="1">
      <c r="A187" s="2"/>
      <c r="B187" s="2"/>
      <c r="C187" s="2"/>
      <c r="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</row>
    <row r="188" ht="15.75" customHeight="1">
      <c r="A188" s="2"/>
      <c r="B188" s="2"/>
      <c r="C188" s="2"/>
      <c r="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</row>
    <row r="189" ht="15.75" customHeight="1">
      <c r="A189" s="2"/>
      <c r="B189" s="2"/>
      <c r="C189" s="2"/>
      <c r="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</row>
    <row r="190" ht="15.75" customHeight="1">
      <c r="A190" s="2"/>
      <c r="B190" s="2"/>
      <c r="C190" s="2"/>
      <c r="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</row>
    <row r="191" ht="15.75" customHeight="1">
      <c r="A191" s="2"/>
      <c r="B191" s="2"/>
      <c r="C191" s="2"/>
      <c r="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</row>
    <row r="192" ht="15.75" customHeight="1">
      <c r="A192" s="2"/>
      <c r="B192" s="2"/>
      <c r="C192" s="2"/>
      <c r="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</row>
    <row r="193" ht="15.75" customHeight="1">
      <c r="A193" s="2"/>
      <c r="B193" s="2"/>
      <c r="C193" s="2"/>
      <c r="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</row>
    <row r="194" ht="15.75" customHeight="1">
      <c r="A194" s="2"/>
      <c r="B194" s="2"/>
      <c r="C194" s="2"/>
      <c r="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</row>
    <row r="195" ht="15.75" customHeight="1">
      <c r="A195" s="2"/>
      <c r="B195" s="2"/>
      <c r="C195" s="2"/>
      <c r="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</row>
    <row r="196" ht="15.75" customHeight="1">
      <c r="A196" s="2"/>
      <c r="B196" s="2"/>
      <c r="C196" s="2"/>
      <c r="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</row>
    <row r="197" ht="15.75" customHeight="1">
      <c r="A197" s="2"/>
      <c r="B197" s="2"/>
      <c r="C197" s="2"/>
      <c r="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</row>
    <row r="198" ht="15.75" customHeight="1">
      <c r="A198" s="2"/>
      <c r="B198" s="2"/>
      <c r="C198" s="2"/>
      <c r="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</row>
    <row r="199" ht="15.75" customHeight="1">
      <c r="A199" s="2"/>
      <c r="B199" s="2"/>
      <c r="C199" s="2"/>
      <c r="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</row>
    <row r="200" ht="15.75" customHeight="1">
      <c r="A200" s="2"/>
      <c r="B200" s="2"/>
      <c r="C200" s="2"/>
      <c r="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</row>
    <row r="201" ht="15.75" customHeight="1">
      <c r="A201" s="2"/>
      <c r="B201" s="2"/>
      <c r="C201" s="2"/>
      <c r="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</row>
    <row r="202" ht="15.75" customHeight="1">
      <c r="A202" s="2"/>
      <c r="B202" s="2"/>
      <c r="C202" s="2"/>
      <c r="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</row>
    <row r="203" ht="15.75" customHeight="1">
      <c r="A203" s="2"/>
      <c r="B203" s="2"/>
      <c r="C203" s="2"/>
      <c r="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</row>
    <row r="204" ht="15.75" customHeight="1">
      <c r="A204" s="2"/>
      <c r="B204" s="2"/>
      <c r="C204" s="2"/>
      <c r="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</row>
    <row r="205" ht="15.75" customHeight="1">
      <c r="A205" s="2"/>
      <c r="B205" s="2"/>
      <c r="C205" s="2"/>
      <c r="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</row>
    <row r="206" ht="15.75" customHeight="1">
      <c r="A206" s="2"/>
      <c r="B206" s="2"/>
      <c r="C206" s="2"/>
      <c r="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</row>
    <row r="207" ht="15.75" customHeight="1">
      <c r="A207" s="2"/>
      <c r="B207" s="2"/>
      <c r="C207" s="2"/>
      <c r="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</row>
    <row r="208" ht="15.75" customHeight="1">
      <c r="A208" s="2"/>
      <c r="B208" s="2"/>
      <c r="C208" s="2"/>
      <c r="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</row>
    <row r="209" ht="15.75" customHeight="1">
      <c r="A209" s="2"/>
      <c r="B209" s="2"/>
      <c r="C209" s="2"/>
      <c r="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</row>
    <row r="210" ht="15.75" customHeight="1">
      <c r="A210" s="2"/>
      <c r="B210" s="2"/>
      <c r="C210" s="2"/>
      <c r="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</row>
    <row r="211" ht="15.75" customHeight="1">
      <c r="A211" s="2"/>
      <c r="B211" s="2"/>
      <c r="C211" s="2"/>
      <c r="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</row>
    <row r="212" ht="15.75" customHeight="1">
      <c r="A212" s="2"/>
      <c r="B212" s="2"/>
      <c r="C212" s="2"/>
      <c r="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</row>
    <row r="213" ht="15.75" customHeight="1">
      <c r="A213" s="2"/>
      <c r="B213" s="2"/>
      <c r="C213" s="2"/>
      <c r="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</row>
    <row r="214" ht="15.75" customHeight="1">
      <c r="A214" s="2"/>
      <c r="B214" s="2"/>
      <c r="C214" s="2"/>
      <c r="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</row>
    <row r="215" ht="15.75" customHeight="1">
      <c r="A215" s="2"/>
      <c r="B215" s="2"/>
      <c r="C215" s="2"/>
      <c r="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</row>
    <row r="216" ht="15.75" customHeight="1">
      <c r="A216" s="2"/>
      <c r="B216" s="2"/>
      <c r="C216" s="2"/>
      <c r="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</row>
    <row r="217" ht="15.75" customHeight="1">
      <c r="A217" s="2"/>
      <c r="B217" s="2"/>
      <c r="C217" s="2"/>
      <c r="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</row>
    <row r="218" ht="15.75" customHeight="1">
      <c r="A218" s="2"/>
      <c r="B218" s="2"/>
      <c r="C218" s="2"/>
      <c r="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</row>
    <row r="219" ht="15.75" customHeight="1">
      <c r="A219" s="2"/>
      <c r="B219" s="2"/>
      <c r="C219" s="2"/>
      <c r="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</row>
    <row r="220" ht="15.75" customHeight="1">
      <c r="A220" s="2"/>
      <c r="B220" s="2"/>
      <c r="C220" s="2"/>
      <c r="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ht="15.75" customHeight="1">
      <c r="A221" s="2"/>
      <c r="B221" s="2"/>
      <c r="C221" s="2"/>
      <c r="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ht="15.75" customHeight="1">
      <c r="A222" s="2"/>
      <c r="B222" s="2"/>
      <c r="C222" s="2"/>
      <c r="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</row>
    <row r="223" ht="15.75" customHeight="1">
      <c r="A223" s="2"/>
      <c r="B223" s="2"/>
      <c r="C223" s="2"/>
      <c r="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</row>
    <row r="224" ht="15.75" customHeight="1">
      <c r="A224" s="2"/>
      <c r="B224" s="2"/>
      <c r="C224" s="2"/>
      <c r="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</row>
    <row r="225" ht="15.75" customHeight="1">
      <c r="A225" s="2"/>
      <c r="B225" s="2"/>
      <c r="C225" s="2"/>
      <c r="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</row>
    <row r="226" ht="15.75" customHeight="1">
      <c r="A226" s="2"/>
      <c r="B226" s="2"/>
      <c r="C226" s="2"/>
      <c r="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</row>
    <row r="227" ht="15.75" customHeight="1">
      <c r="A227" s="2"/>
      <c r="B227" s="2"/>
      <c r="C227" s="2"/>
      <c r="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</row>
    <row r="228" ht="15.75" customHeight="1">
      <c r="A228" s="2"/>
      <c r="B228" s="2"/>
      <c r="C228" s="2"/>
      <c r="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</row>
    <row r="229" ht="15.75" customHeight="1">
      <c r="A229" s="2"/>
      <c r="B229" s="2"/>
      <c r="C229" s="2"/>
      <c r="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</row>
    <row r="230" ht="15.75" customHeight="1">
      <c r="A230" s="2"/>
      <c r="B230" s="2"/>
      <c r="C230" s="2"/>
      <c r="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</row>
    <row r="231" ht="15.75" customHeight="1">
      <c r="A231" s="2"/>
      <c r="B231" s="2"/>
      <c r="C231" s="2"/>
      <c r="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</row>
    <row r="232" ht="15.75" customHeight="1">
      <c r="A232" s="2"/>
      <c r="B232" s="2"/>
      <c r="C232" s="2"/>
      <c r="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</row>
    <row r="233" ht="15.75" customHeight="1">
      <c r="A233" s="2"/>
      <c r="B233" s="2"/>
      <c r="C233" s="2"/>
      <c r="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</row>
    <row r="234" ht="15.75" customHeight="1">
      <c r="A234" s="2"/>
      <c r="B234" s="2"/>
      <c r="C234" s="2"/>
      <c r="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</row>
    <row r="235" ht="15.75" customHeight="1">
      <c r="A235" s="2"/>
      <c r="B235" s="2"/>
      <c r="C235" s="2"/>
      <c r="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</row>
    <row r="236" ht="15.75" customHeight="1">
      <c r="A236" s="2"/>
      <c r="B236" s="2"/>
      <c r="C236" s="2"/>
      <c r="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</row>
    <row r="237" ht="15.75" customHeight="1">
      <c r="A237" s="2"/>
      <c r="B237" s="2"/>
      <c r="C237" s="2"/>
      <c r="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</row>
    <row r="238" ht="15.75" customHeight="1">
      <c r="A238" s="2"/>
      <c r="B238" s="2"/>
      <c r="C238" s="2"/>
      <c r="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</row>
    <row r="239" ht="15.75" customHeight="1">
      <c r="A239" s="2"/>
      <c r="B239" s="2"/>
      <c r="C239" s="2"/>
      <c r="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</row>
    <row r="240" ht="15.75" customHeight="1">
      <c r="A240" s="2"/>
      <c r="B240" s="2"/>
      <c r="C240" s="2"/>
      <c r="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</row>
    <row r="241" ht="15.75" customHeight="1">
      <c r="A241" s="2"/>
      <c r="B241" s="2"/>
      <c r="C241" s="2"/>
      <c r="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</row>
    <row r="242" ht="15.75" customHeight="1">
      <c r="A242" s="2"/>
      <c r="B242" s="2"/>
      <c r="C242" s="2"/>
      <c r="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</row>
    <row r="243" ht="15.75" customHeight="1">
      <c r="A243" s="2"/>
      <c r="B243" s="2"/>
      <c r="C243" s="2"/>
      <c r="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</row>
    <row r="244" ht="15.75" customHeight="1">
      <c r="A244" s="2"/>
      <c r="B244" s="2"/>
      <c r="C244" s="2"/>
      <c r="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</row>
    <row r="245" ht="15.75" customHeight="1">
      <c r="A245" s="2"/>
      <c r="B245" s="2"/>
      <c r="C245" s="2"/>
      <c r="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</row>
    <row r="246" ht="15.75" customHeight="1">
      <c r="A246" s="2"/>
      <c r="B246" s="2"/>
      <c r="C246" s="2"/>
      <c r="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</row>
    <row r="247" ht="15.75" customHeight="1">
      <c r="A247" s="2"/>
      <c r="B247" s="2"/>
      <c r="C247" s="2"/>
      <c r="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</row>
    <row r="248" ht="15.75" customHeight="1">
      <c r="A248" s="2"/>
      <c r="B248" s="2"/>
      <c r="C248" s="2"/>
      <c r="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</row>
    <row r="249" ht="15.75" customHeight="1">
      <c r="A249" s="2"/>
      <c r="B249" s="2"/>
      <c r="C249" s="2"/>
      <c r="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</row>
    <row r="250" ht="15.75" customHeight="1">
      <c r="A250" s="2"/>
      <c r="B250" s="2"/>
      <c r="C250" s="2"/>
      <c r="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</row>
    <row r="251" ht="15.75" customHeight="1">
      <c r="A251" s="2"/>
      <c r="B251" s="2"/>
      <c r="C251" s="2"/>
      <c r="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</row>
    <row r="252" ht="15.75" customHeight="1">
      <c r="A252" s="2"/>
      <c r="B252" s="2"/>
      <c r="C252" s="2"/>
      <c r="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</row>
    <row r="253" ht="15.75" customHeight="1">
      <c r="A253" s="2"/>
      <c r="B253" s="2"/>
      <c r="C253" s="2"/>
      <c r="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</row>
    <row r="254" ht="15.75" customHeight="1">
      <c r="A254" s="2"/>
      <c r="B254" s="2"/>
      <c r="C254" s="2"/>
      <c r="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</row>
    <row r="255" ht="15.75" customHeight="1">
      <c r="A255" s="2"/>
      <c r="B255" s="2"/>
      <c r="C255" s="2"/>
      <c r="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</row>
    <row r="256" ht="15.75" customHeight="1">
      <c r="A256" s="2"/>
      <c r="B256" s="2"/>
      <c r="C256" s="2"/>
      <c r="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</row>
    <row r="257" ht="15.75" customHeight="1">
      <c r="A257" s="2"/>
      <c r="B257" s="2"/>
      <c r="C257" s="2"/>
      <c r="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</row>
    <row r="258" ht="15.75" customHeight="1">
      <c r="A258" s="2"/>
      <c r="B258" s="2"/>
      <c r="C258" s="2"/>
      <c r="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</row>
    <row r="259" ht="15.75" customHeight="1">
      <c r="A259" s="2"/>
      <c r="B259" s="2"/>
      <c r="C259" s="2"/>
      <c r="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</row>
    <row r="260" ht="15.75" customHeight="1">
      <c r="A260" s="2"/>
      <c r="B260" s="2"/>
      <c r="C260" s="2"/>
      <c r="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</row>
    <row r="261" ht="15.75" customHeight="1">
      <c r="A261" s="2"/>
      <c r="B261" s="2"/>
      <c r="C261" s="2"/>
      <c r="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</row>
    <row r="262" ht="15.75" customHeight="1">
      <c r="A262" s="2"/>
      <c r="B262" s="2"/>
      <c r="C262" s="2"/>
      <c r="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</row>
    <row r="263" ht="15.75" customHeight="1">
      <c r="A263" s="2"/>
      <c r="B263" s="2"/>
      <c r="C263" s="2"/>
      <c r="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</row>
    <row r="264" ht="15.75" customHeight="1">
      <c r="A264" s="2"/>
      <c r="B264" s="2"/>
      <c r="C264" s="2"/>
      <c r="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</row>
    <row r="265" ht="15.75" customHeight="1">
      <c r="A265" s="2"/>
      <c r="B265" s="2"/>
      <c r="C265" s="2"/>
      <c r="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</row>
    <row r="266" ht="15.75" customHeight="1">
      <c r="A266" s="2"/>
      <c r="B266" s="2"/>
      <c r="C266" s="2"/>
      <c r="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</row>
    <row r="267" ht="15.75" customHeight="1">
      <c r="A267" s="2"/>
      <c r="B267" s="2"/>
      <c r="C267" s="2"/>
      <c r="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</row>
    <row r="268" ht="15.75" customHeight="1">
      <c r="A268" s="2"/>
      <c r="B268" s="2"/>
      <c r="C268" s="2"/>
      <c r="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</row>
    <row r="269" ht="15.75" customHeight="1">
      <c r="A269" s="2"/>
      <c r="B269" s="2"/>
      <c r="C269" s="2"/>
      <c r="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</row>
    <row r="270" ht="15.75" customHeight="1">
      <c r="A270" s="2"/>
      <c r="B270" s="2"/>
      <c r="C270" s="2"/>
      <c r="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</row>
    <row r="271" ht="15.75" customHeight="1">
      <c r="A271" s="2"/>
      <c r="B271" s="2"/>
      <c r="C271" s="2"/>
      <c r="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</row>
    <row r="272" ht="15.75" customHeight="1">
      <c r="A272" s="2"/>
      <c r="B272" s="2"/>
      <c r="C272" s="2"/>
      <c r="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</row>
    <row r="273" ht="15.75" customHeight="1">
      <c r="A273" s="2"/>
      <c r="B273" s="2"/>
      <c r="C273" s="2"/>
      <c r="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</row>
    <row r="274" ht="15.75" customHeight="1">
      <c r="A274" s="2"/>
      <c r="B274" s="2"/>
      <c r="C274" s="2"/>
      <c r="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</row>
    <row r="275" ht="15.75" customHeight="1">
      <c r="A275" s="2"/>
      <c r="B275" s="2"/>
      <c r="C275" s="2"/>
      <c r="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</row>
    <row r="276" ht="15.75" customHeight="1">
      <c r="A276" s="2"/>
      <c r="B276" s="2"/>
      <c r="C276" s="2"/>
      <c r="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</row>
    <row r="277" ht="15.75" customHeight="1">
      <c r="A277" s="2"/>
      <c r="B277" s="2"/>
      <c r="C277" s="2"/>
      <c r="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</row>
    <row r="278" ht="15.75" customHeight="1">
      <c r="A278" s="2"/>
      <c r="B278" s="2"/>
      <c r="C278" s="2"/>
      <c r="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</row>
    <row r="279" ht="15.75" customHeight="1">
      <c r="A279" s="2"/>
      <c r="B279" s="2"/>
      <c r="C279" s="2"/>
      <c r="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</row>
    <row r="280" ht="15.75" customHeight="1">
      <c r="A280" s="2"/>
      <c r="B280" s="2"/>
      <c r="C280" s="2"/>
      <c r="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</row>
    <row r="281" ht="15.75" customHeight="1">
      <c r="A281" s="2"/>
      <c r="B281" s="2"/>
      <c r="C281" s="2"/>
      <c r="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</row>
    <row r="282" ht="15.75" customHeight="1">
      <c r="A282" s="2"/>
      <c r="B282" s="2"/>
      <c r="C282" s="2"/>
      <c r="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</row>
    <row r="283" ht="15.75" customHeight="1">
      <c r="A283" s="2"/>
      <c r="B283" s="2"/>
      <c r="C283" s="2"/>
      <c r="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</row>
    <row r="284" ht="15.75" customHeight="1">
      <c r="A284" s="2"/>
      <c r="B284" s="2"/>
      <c r="C284" s="2"/>
      <c r="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</row>
    <row r="285" ht="15.75" customHeight="1">
      <c r="A285" s="2"/>
      <c r="B285" s="2"/>
      <c r="C285" s="2"/>
      <c r="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</row>
    <row r="286" ht="15.75" customHeight="1">
      <c r="A286" s="2"/>
      <c r="B286" s="2"/>
      <c r="C286" s="2"/>
      <c r="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</row>
    <row r="287" ht="15.75" customHeight="1">
      <c r="A287" s="2"/>
      <c r="B287" s="2"/>
      <c r="C287" s="2"/>
      <c r="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</row>
    <row r="288" ht="15.75" customHeight="1">
      <c r="A288" s="2"/>
      <c r="B288" s="2"/>
      <c r="C288" s="2"/>
      <c r="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</row>
    <row r="289" ht="15.75" customHeight="1">
      <c r="A289" s="2"/>
      <c r="B289" s="2"/>
      <c r="C289" s="2"/>
      <c r="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</row>
    <row r="290" ht="15.75" customHeight="1">
      <c r="A290" s="2"/>
      <c r="B290" s="2"/>
      <c r="C290" s="2"/>
      <c r="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</row>
    <row r="291" ht="15.75" customHeight="1">
      <c r="A291" s="2"/>
      <c r="B291" s="2"/>
      <c r="C291" s="2"/>
      <c r="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</row>
    <row r="292" ht="15.75" customHeight="1">
      <c r="A292" s="2"/>
      <c r="B292" s="2"/>
      <c r="C292" s="2"/>
      <c r="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</row>
    <row r="293" ht="15.75" customHeight="1">
      <c r="A293" s="2"/>
      <c r="B293" s="2"/>
      <c r="C293" s="2"/>
      <c r="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</row>
    <row r="294" ht="15.75" customHeight="1">
      <c r="A294" s="2"/>
      <c r="B294" s="2"/>
      <c r="C294" s="2"/>
      <c r="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</row>
    <row r="295" ht="15.75" customHeight="1">
      <c r="A295" s="2"/>
      <c r="B295" s="2"/>
      <c r="C295" s="2"/>
      <c r="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</row>
    <row r="296" ht="15.75" customHeight="1">
      <c r="A296" s="2"/>
      <c r="B296" s="2"/>
      <c r="C296" s="2"/>
      <c r="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</row>
    <row r="297" ht="15.75" customHeight="1">
      <c r="A297" s="2"/>
      <c r="B297" s="2"/>
      <c r="C297" s="2"/>
      <c r="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</row>
    <row r="298" ht="15.75" customHeight="1">
      <c r="A298" s="2"/>
      <c r="B298" s="2"/>
      <c r="C298" s="2"/>
      <c r="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</row>
    <row r="299" ht="15.75" customHeight="1">
      <c r="A299" s="2"/>
      <c r="B299" s="2"/>
      <c r="C299" s="2"/>
      <c r="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</row>
    <row r="300" ht="15.75" customHeight="1">
      <c r="A300" s="2"/>
      <c r="B300" s="2"/>
      <c r="C300" s="2"/>
      <c r="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</row>
    <row r="301" ht="15.75" customHeight="1">
      <c r="A301" s="2"/>
      <c r="B301" s="2"/>
      <c r="C301" s="2"/>
      <c r="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</row>
    <row r="302" ht="15.75" customHeight="1">
      <c r="A302" s="2"/>
      <c r="B302" s="2"/>
      <c r="C302" s="2"/>
      <c r="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</row>
    <row r="303" ht="15.75" customHeight="1">
      <c r="A303" s="2"/>
      <c r="B303" s="2"/>
      <c r="C303" s="2"/>
      <c r="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</row>
    <row r="304" ht="15.75" customHeight="1">
      <c r="A304" s="2"/>
      <c r="B304" s="2"/>
      <c r="C304" s="2"/>
      <c r="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</row>
    <row r="305" ht="15.75" customHeight="1">
      <c r="A305" s="2"/>
      <c r="B305" s="2"/>
      <c r="C305" s="2"/>
      <c r="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</row>
    <row r="306" ht="15.75" customHeight="1">
      <c r="A306" s="2"/>
      <c r="B306" s="2"/>
      <c r="C306" s="2"/>
      <c r="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</row>
    <row r="307" ht="15.75" customHeight="1">
      <c r="A307" s="2"/>
      <c r="B307" s="2"/>
      <c r="C307" s="2"/>
      <c r="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</row>
    <row r="308" ht="15.75" customHeight="1">
      <c r="A308" s="2"/>
      <c r="B308" s="2"/>
      <c r="C308" s="2"/>
      <c r="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</row>
    <row r="309" ht="15.75" customHeight="1">
      <c r="A309" s="2"/>
      <c r="B309" s="2"/>
      <c r="C309" s="2"/>
      <c r="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</row>
    <row r="310" ht="15.75" customHeight="1">
      <c r="A310" s="2"/>
      <c r="B310" s="2"/>
      <c r="C310" s="2"/>
      <c r="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</row>
    <row r="311" ht="15.75" customHeight="1">
      <c r="A311" s="2"/>
      <c r="B311" s="2"/>
      <c r="C311" s="2"/>
      <c r="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</row>
    <row r="312" ht="15.75" customHeight="1">
      <c r="A312" s="2"/>
      <c r="B312" s="2"/>
      <c r="C312" s="2"/>
      <c r="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</row>
    <row r="313" ht="15.75" customHeight="1">
      <c r="A313" s="2"/>
      <c r="B313" s="2"/>
      <c r="C313" s="2"/>
      <c r="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</row>
    <row r="314" ht="15.75" customHeight="1">
      <c r="A314" s="2"/>
      <c r="B314" s="2"/>
      <c r="C314" s="2"/>
      <c r="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</row>
    <row r="315" ht="15.75" customHeight="1">
      <c r="A315" s="2"/>
      <c r="B315" s="2"/>
      <c r="C315" s="2"/>
      <c r="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</row>
    <row r="316" ht="15.75" customHeight="1">
      <c r="A316" s="2"/>
      <c r="B316" s="2"/>
      <c r="C316" s="2"/>
      <c r="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</row>
    <row r="317" ht="15.75" customHeight="1">
      <c r="A317" s="2"/>
      <c r="B317" s="2"/>
      <c r="C317" s="2"/>
      <c r="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</row>
    <row r="318" ht="15.75" customHeight="1">
      <c r="A318" s="2"/>
      <c r="B318" s="2"/>
      <c r="C318" s="2"/>
      <c r="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</row>
    <row r="319" ht="15.75" customHeight="1">
      <c r="A319" s="2"/>
      <c r="B319" s="2"/>
      <c r="C319" s="2"/>
      <c r="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</row>
    <row r="320" ht="15.75" customHeight="1">
      <c r="A320" s="2"/>
      <c r="B320" s="2"/>
      <c r="C320" s="2"/>
      <c r="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</row>
    <row r="321" ht="15.75" customHeight="1">
      <c r="A321" s="2"/>
      <c r="B321" s="2"/>
      <c r="C321" s="2"/>
      <c r="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</row>
    <row r="322" ht="15.75" customHeight="1">
      <c r="A322" s="2"/>
      <c r="B322" s="2"/>
      <c r="C322" s="2"/>
      <c r="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</row>
    <row r="323" ht="15.75" customHeight="1">
      <c r="A323" s="2"/>
      <c r="B323" s="2"/>
      <c r="C323" s="2"/>
      <c r="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</row>
    <row r="324" ht="15.75" customHeight="1">
      <c r="A324" s="2"/>
      <c r="B324" s="2"/>
      <c r="C324" s="2"/>
      <c r="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</row>
    <row r="325" ht="15.75" customHeight="1">
      <c r="A325" s="2"/>
      <c r="B325" s="2"/>
      <c r="C325" s="2"/>
      <c r="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</row>
    <row r="326" ht="15.75" customHeight="1">
      <c r="A326" s="2"/>
      <c r="B326" s="2"/>
      <c r="C326" s="2"/>
      <c r="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</row>
    <row r="327" ht="15.75" customHeight="1">
      <c r="A327" s="2"/>
      <c r="B327" s="2"/>
      <c r="C327" s="2"/>
      <c r="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</row>
    <row r="328" ht="15.75" customHeight="1">
      <c r="A328" s="2"/>
      <c r="B328" s="2"/>
      <c r="C328" s="2"/>
      <c r="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</row>
    <row r="329" ht="15.75" customHeight="1">
      <c r="A329" s="2"/>
      <c r="B329" s="2"/>
      <c r="C329" s="2"/>
      <c r="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</row>
    <row r="330" ht="15.75" customHeight="1">
      <c r="A330" s="2"/>
      <c r="B330" s="2"/>
      <c r="C330" s="2"/>
      <c r="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</row>
    <row r="331" ht="15.75" customHeight="1">
      <c r="A331" s="2"/>
      <c r="B331" s="2"/>
      <c r="C331" s="2"/>
      <c r="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</row>
    <row r="332" ht="15.75" customHeight="1">
      <c r="A332" s="2"/>
      <c r="B332" s="2"/>
      <c r="C332" s="2"/>
      <c r="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</row>
    <row r="333" ht="15.75" customHeight="1">
      <c r="A333" s="2"/>
      <c r="B333" s="2"/>
      <c r="C333" s="2"/>
      <c r="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</row>
    <row r="334" ht="15.75" customHeight="1">
      <c r="A334" s="2"/>
      <c r="B334" s="2"/>
      <c r="C334" s="2"/>
      <c r="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</row>
    <row r="335" ht="15.75" customHeight="1">
      <c r="A335" s="2"/>
      <c r="B335" s="2"/>
      <c r="C335" s="2"/>
      <c r="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</row>
    <row r="336" ht="15.75" customHeight="1">
      <c r="A336" s="2"/>
      <c r="B336" s="2"/>
      <c r="C336" s="2"/>
      <c r="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</row>
    <row r="337" ht="15.75" customHeight="1">
      <c r="A337" s="2"/>
      <c r="B337" s="2"/>
      <c r="C337" s="2"/>
      <c r="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</row>
    <row r="338" ht="15.75" customHeight="1">
      <c r="A338" s="2"/>
      <c r="B338" s="2"/>
      <c r="C338" s="2"/>
      <c r="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</row>
    <row r="339" ht="15.75" customHeight="1">
      <c r="A339" s="2"/>
      <c r="B339" s="2"/>
      <c r="C339" s="2"/>
      <c r="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</row>
    <row r="340" ht="15.75" customHeight="1">
      <c r="A340" s="2"/>
      <c r="B340" s="2"/>
      <c r="C340" s="2"/>
      <c r="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</row>
    <row r="341" ht="15.75" customHeight="1">
      <c r="A341" s="2"/>
      <c r="B341" s="2"/>
      <c r="C341" s="2"/>
      <c r="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</row>
    <row r="342" ht="15.75" customHeight="1">
      <c r="A342" s="2"/>
      <c r="B342" s="2"/>
      <c r="C342" s="2"/>
      <c r="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</row>
    <row r="343" ht="15.75" customHeight="1">
      <c r="A343" s="2"/>
      <c r="B343" s="2"/>
      <c r="C343" s="2"/>
      <c r="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</row>
    <row r="344" ht="15.75" customHeight="1">
      <c r="A344" s="2"/>
      <c r="B344" s="2"/>
      <c r="C344" s="2"/>
      <c r="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</row>
    <row r="345" ht="15.75" customHeight="1">
      <c r="A345" s="2"/>
      <c r="B345" s="2"/>
      <c r="C345" s="2"/>
      <c r="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</row>
    <row r="346" ht="15.75" customHeight="1">
      <c r="A346" s="2"/>
      <c r="B346" s="2"/>
      <c r="C346" s="2"/>
      <c r="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</row>
    <row r="347" ht="15.75" customHeight="1">
      <c r="A347" s="2"/>
      <c r="B347" s="2"/>
      <c r="C347" s="2"/>
      <c r="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</row>
    <row r="348" ht="15.75" customHeight="1">
      <c r="A348" s="2"/>
      <c r="B348" s="2"/>
      <c r="C348" s="2"/>
      <c r="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</row>
    <row r="349" ht="15.75" customHeight="1">
      <c r="A349" s="2"/>
      <c r="B349" s="2"/>
      <c r="C349" s="2"/>
      <c r="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</row>
    <row r="350" ht="15.75" customHeight="1">
      <c r="A350" s="2"/>
      <c r="B350" s="2"/>
      <c r="C350" s="2"/>
      <c r="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</row>
    <row r="351" ht="15.75" customHeight="1">
      <c r="A351" s="2"/>
      <c r="B351" s="2"/>
      <c r="C351" s="2"/>
      <c r="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</row>
    <row r="352" ht="15.75" customHeight="1">
      <c r="A352" s="2"/>
      <c r="B352" s="2"/>
      <c r="C352" s="2"/>
      <c r="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</row>
    <row r="353" ht="15.75" customHeight="1">
      <c r="A353" s="2"/>
      <c r="B353" s="2"/>
      <c r="C353" s="2"/>
      <c r="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</row>
    <row r="354" ht="15.75" customHeight="1">
      <c r="A354" s="2"/>
      <c r="B354" s="2"/>
      <c r="C354" s="2"/>
      <c r="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</row>
    <row r="355" ht="15.75" customHeight="1">
      <c r="A355" s="2"/>
      <c r="B355" s="2"/>
      <c r="C355" s="2"/>
      <c r="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</row>
    <row r="356" ht="15.75" customHeight="1">
      <c r="A356" s="2"/>
      <c r="B356" s="2"/>
      <c r="C356" s="2"/>
      <c r="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</row>
    <row r="357" ht="15.75" customHeight="1">
      <c r="A357" s="2"/>
      <c r="B357" s="2"/>
      <c r="C357" s="2"/>
      <c r="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</row>
    <row r="358" ht="15.75" customHeight="1">
      <c r="A358" s="2"/>
      <c r="B358" s="2"/>
      <c r="C358" s="2"/>
      <c r="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</row>
    <row r="359" ht="15.75" customHeight="1">
      <c r="A359" s="2"/>
      <c r="B359" s="2"/>
      <c r="C359" s="2"/>
      <c r="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</row>
    <row r="360" ht="15.75" customHeight="1">
      <c r="A360" s="2"/>
      <c r="B360" s="2"/>
      <c r="C360" s="2"/>
      <c r="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</row>
    <row r="361" ht="15.75" customHeight="1">
      <c r="A361" s="2"/>
      <c r="B361" s="2"/>
      <c r="C361" s="2"/>
      <c r="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</row>
    <row r="362" ht="15.75" customHeight="1">
      <c r="A362" s="2"/>
      <c r="B362" s="2"/>
      <c r="C362" s="2"/>
      <c r="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</row>
    <row r="363" ht="15.75" customHeight="1">
      <c r="A363" s="2"/>
      <c r="B363" s="2"/>
      <c r="C363" s="2"/>
      <c r="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</row>
    <row r="364" ht="15.75" customHeight="1">
      <c r="A364" s="2"/>
      <c r="B364" s="2"/>
      <c r="C364" s="2"/>
      <c r="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</row>
    <row r="365" ht="15.75" customHeight="1">
      <c r="A365" s="2"/>
      <c r="B365" s="2"/>
      <c r="C365" s="2"/>
      <c r="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</row>
    <row r="366" ht="15.75" customHeight="1">
      <c r="A366" s="2"/>
      <c r="B366" s="2"/>
      <c r="C366" s="2"/>
      <c r="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</row>
    <row r="367" ht="15.75" customHeight="1">
      <c r="A367" s="2"/>
      <c r="B367" s="2"/>
      <c r="C367" s="2"/>
      <c r="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</row>
    <row r="368" ht="15.75" customHeight="1">
      <c r="A368" s="2"/>
      <c r="B368" s="2"/>
      <c r="C368" s="2"/>
      <c r="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</row>
    <row r="369" ht="15.75" customHeight="1">
      <c r="A369" s="2"/>
      <c r="B369" s="2"/>
      <c r="C369" s="2"/>
      <c r="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</row>
    <row r="370" ht="15.75" customHeight="1">
      <c r="A370" s="2"/>
      <c r="B370" s="2"/>
      <c r="C370" s="2"/>
      <c r="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</row>
    <row r="371" ht="15.75" customHeight="1">
      <c r="A371" s="2"/>
      <c r="B371" s="2"/>
      <c r="C371" s="2"/>
      <c r="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</row>
    <row r="372" ht="15.75" customHeight="1">
      <c r="A372" s="2"/>
      <c r="B372" s="2"/>
      <c r="C372" s="2"/>
      <c r="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</row>
    <row r="373" ht="15.75" customHeight="1">
      <c r="A373" s="2"/>
      <c r="B373" s="2"/>
      <c r="C373" s="2"/>
      <c r="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</row>
    <row r="374" ht="15.75" customHeight="1">
      <c r="A374" s="2"/>
      <c r="B374" s="2"/>
      <c r="C374" s="2"/>
      <c r="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</row>
    <row r="375" ht="15.75" customHeight="1">
      <c r="A375" s="2"/>
      <c r="B375" s="2"/>
      <c r="C375" s="2"/>
      <c r="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</row>
    <row r="376" ht="15.75" customHeight="1">
      <c r="A376" s="2"/>
      <c r="B376" s="2"/>
      <c r="C376" s="2"/>
      <c r="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</row>
    <row r="377" ht="15.75" customHeight="1">
      <c r="A377" s="2"/>
      <c r="B377" s="2"/>
      <c r="C377" s="2"/>
      <c r="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</row>
    <row r="378" ht="15.75" customHeight="1">
      <c r="A378" s="2"/>
      <c r="B378" s="2"/>
      <c r="C378" s="2"/>
      <c r="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</row>
    <row r="379" ht="15.75" customHeight="1">
      <c r="A379" s="2"/>
      <c r="B379" s="2"/>
      <c r="C379" s="2"/>
      <c r="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</row>
    <row r="380" ht="15.75" customHeight="1">
      <c r="A380" s="2"/>
      <c r="B380" s="2"/>
      <c r="C380" s="2"/>
      <c r="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</row>
    <row r="381" ht="15.75" customHeight="1">
      <c r="A381" s="2"/>
      <c r="B381" s="2"/>
      <c r="C381" s="2"/>
      <c r="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</row>
    <row r="382" ht="15.75" customHeight="1">
      <c r="A382" s="2"/>
      <c r="B382" s="2"/>
      <c r="C382" s="2"/>
      <c r="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</row>
    <row r="383" ht="15.75" customHeight="1">
      <c r="A383" s="2"/>
      <c r="B383" s="2"/>
      <c r="C383" s="2"/>
      <c r="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</row>
    <row r="384" ht="15.75" customHeight="1">
      <c r="A384" s="2"/>
      <c r="B384" s="2"/>
      <c r="C384" s="2"/>
      <c r="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</row>
    <row r="385" ht="15.75" customHeight="1">
      <c r="A385" s="2"/>
      <c r="B385" s="2"/>
      <c r="C385" s="2"/>
      <c r="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</row>
    <row r="386" ht="15.75" customHeight="1">
      <c r="A386" s="2"/>
      <c r="B386" s="2"/>
      <c r="C386" s="2"/>
      <c r="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</row>
    <row r="387" ht="15.75" customHeight="1">
      <c r="A387" s="2"/>
      <c r="B387" s="2"/>
      <c r="C387" s="2"/>
      <c r="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</row>
    <row r="388" ht="15.75" customHeight="1">
      <c r="A388" s="2"/>
      <c r="B388" s="2"/>
      <c r="C388" s="2"/>
      <c r="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</row>
    <row r="389" ht="15.75" customHeight="1">
      <c r="A389" s="2"/>
      <c r="B389" s="2"/>
      <c r="C389" s="2"/>
      <c r="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</row>
    <row r="390" ht="15.75" customHeight="1">
      <c r="A390" s="2"/>
      <c r="B390" s="2"/>
      <c r="C390" s="2"/>
      <c r="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</row>
    <row r="391" ht="15.75" customHeight="1">
      <c r="A391" s="2"/>
      <c r="B391" s="2"/>
      <c r="C391" s="2"/>
      <c r="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</row>
    <row r="392" ht="15.75" customHeight="1">
      <c r="A392" s="2"/>
      <c r="B392" s="2"/>
      <c r="C392" s="2"/>
      <c r="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</row>
    <row r="393" ht="15.75" customHeight="1">
      <c r="A393" s="2"/>
      <c r="B393" s="2"/>
      <c r="C393" s="2"/>
      <c r="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</row>
    <row r="394" ht="15.75" customHeight="1">
      <c r="A394" s="2"/>
      <c r="B394" s="2"/>
      <c r="C394" s="2"/>
      <c r="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</row>
    <row r="395" ht="15.75" customHeight="1">
      <c r="A395" s="2"/>
      <c r="B395" s="2"/>
      <c r="C395" s="2"/>
      <c r="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</row>
    <row r="396" ht="15.75" customHeight="1">
      <c r="A396" s="2"/>
      <c r="B396" s="2"/>
      <c r="C396" s="2"/>
      <c r="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</row>
    <row r="397" ht="15.75" customHeight="1">
      <c r="A397" s="2"/>
      <c r="B397" s="2"/>
      <c r="C397" s="2"/>
      <c r="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</row>
    <row r="398" ht="15.75" customHeight="1">
      <c r="A398" s="2"/>
      <c r="B398" s="2"/>
      <c r="C398" s="2"/>
      <c r="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</row>
    <row r="399" ht="15.75" customHeight="1">
      <c r="A399" s="2"/>
      <c r="B399" s="2"/>
      <c r="C399" s="2"/>
      <c r="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</row>
    <row r="400" ht="15.75" customHeight="1">
      <c r="A400" s="2"/>
      <c r="B400" s="2"/>
      <c r="C400" s="2"/>
      <c r="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</row>
    <row r="401" ht="15.75" customHeight="1">
      <c r="A401" s="2"/>
      <c r="B401" s="2"/>
      <c r="C401" s="2"/>
      <c r="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</row>
    <row r="402" ht="15.75" customHeight="1">
      <c r="A402" s="2"/>
      <c r="B402" s="2"/>
      <c r="C402" s="2"/>
      <c r="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</row>
    <row r="403" ht="15.75" customHeight="1">
      <c r="A403" s="2"/>
      <c r="B403" s="2"/>
      <c r="C403" s="2"/>
      <c r="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</row>
    <row r="404" ht="15.75" customHeight="1">
      <c r="A404" s="2"/>
      <c r="B404" s="2"/>
      <c r="C404" s="2"/>
      <c r="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</row>
    <row r="405" ht="15.75" customHeight="1">
      <c r="A405" s="2"/>
      <c r="B405" s="2"/>
      <c r="C405" s="2"/>
      <c r="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</row>
    <row r="406" ht="15.75" customHeight="1">
      <c r="A406" s="2"/>
      <c r="B406" s="2"/>
      <c r="C406" s="2"/>
      <c r="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</row>
    <row r="407" ht="15.75" customHeight="1">
      <c r="A407" s="2"/>
      <c r="B407" s="2"/>
      <c r="C407" s="2"/>
      <c r="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</row>
    <row r="408" ht="15.75" customHeight="1">
      <c r="A408" s="2"/>
      <c r="B408" s="2"/>
      <c r="C408" s="2"/>
      <c r="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</row>
    <row r="409" ht="15.75" customHeight="1">
      <c r="A409" s="2"/>
      <c r="B409" s="2"/>
      <c r="C409" s="2"/>
      <c r="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</row>
    <row r="410" ht="15.75" customHeight="1">
      <c r="A410" s="2"/>
      <c r="B410" s="2"/>
      <c r="C410" s="2"/>
      <c r="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</row>
    <row r="411" ht="15.75" customHeight="1">
      <c r="A411" s="2"/>
      <c r="B411" s="2"/>
      <c r="C411" s="2"/>
      <c r="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</row>
    <row r="412" ht="15.75" customHeight="1">
      <c r="A412" s="2"/>
      <c r="B412" s="2"/>
      <c r="C412" s="2"/>
      <c r="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</row>
    <row r="413" ht="15.75" customHeight="1">
      <c r="A413" s="2"/>
      <c r="B413" s="2"/>
      <c r="C413" s="2"/>
      <c r="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</row>
    <row r="414" ht="15.75" customHeight="1">
      <c r="A414" s="2"/>
      <c r="B414" s="2"/>
      <c r="C414" s="2"/>
      <c r="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</row>
    <row r="415" ht="15.75" customHeight="1">
      <c r="A415" s="2"/>
      <c r="B415" s="2"/>
      <c r="C415" s="2"/>
      <c r="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</row>
    <row r="416" ht="15.75" customHeight="1">
      <c r="A416" s="2"/>
      <c r="B416" s="2"/>
      <c r="C416" s="2"/>
      <c r="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</row>
    <row r="417" ht="15.75" customHeight="1">
      <c r="A417" s="2"/>
      <c r="B417" s="2"/>
      <c r="C417" s="2"/>
      <c r="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</row>
    <row r="418" ht="15.75" customHeight="1">
      <c r="A418" s="2"/>
      <c r="B418" s="2"/>
      <c r="C418" s="2"/>
      <c r="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</row>
    <row r="419" ht="15.75" customHeight="1">
      <c r="A419" s="2"/>
      <c r="B419" s="2"/>
      <c r="C419" s="2"/>
      <c r="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</row>
    <row r="420" ht="15.75" customHeight="1">
      <c r="A420" s="2"/>
      <c r="B420" s="2"/>
      <c r="C420" s="2"/>
      <c r="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</row>
    <row r="421" ht="15.75" customHeight="1">
      <c r="A421" s="2"/>
      <c r="B421" s="2"/>
      <c r="C421" s="2"/>
      <c r="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</row>
    <row r="422" ht="15.75" customHeight="1">
      <c r="A422" s="2"/>
      <c r="B422" s="2"/>
      <c r="C422" s="2"/>
      <c r="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</row>
    <row r="423" ht="15.75" customHeight="1">
      <c r="A423" s="2"/>
      <c r="B423" s="2"/>
      <c r="C423" s="2"/>
      <c r="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</row>
    <row r="424" ht="15.75" customHeight="1">
      <c r="A424" s="2"/>
      <c r="B424" s="2"/>
      <c r="C424" s="2"/>
      <c r="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</row>
    <row r="425" ht="15.75" customHeight="1">
      <c r="A425" s="2"/>
      <c r="B425" s="2"/>
      <c r="C425" s="2"/>
      <c r="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</row>
    <row r="426" ht="15.75" customHeight="1">
      <c r="A426" s="2"/>
      <c r="B426" s="2"/>
      <c r="C426" s="2"/>
      <c r="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</row>
    <row r="427" ht="15.75" customHeight="1">
      <c r="A427" s="2"/>
      <c r="B427" s="2"/>
      <c r="C427" s="2"/>
      <c r="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</row>
    <row r="428" ht="15.75" customHeight="1">
      <c r="A428" s="2"/>
      <c r="B428" s="2"/>
      <c r="C428" s="2"/>
      <c r="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</row>
    <row r="429" ht="15.75" customHeight="1">
      <c r="A429" s="2"/>
      <c r="B429" s="2"/>
      <c r="C429" s="2"/>
      <c r="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</row>
    <row r="430" ht="15.75" customHeight="1">
      <c r="A430" s="2"/>
      <c r="B430" s="2"/>
      <c r="C430" s="2"/>
      <c r="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</row>
    <row r="431" ht="15.75" customHeight="1">
      <c r="A431" s="2"/>
      <c r="B431" s="2"/>
      <c r="C431" s="2"/>
      <c r="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</row>
    <row r="432" ht="15.75" customHeight="1">
      <c r="A432" s="2"/>
      <c r="B432" s="2"/>
      <c r="C432" s="2"/>
      <c r="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</row>
    <row r="433" ht="15.75" customHeight="1">
      <c r="A433" s="2"/>
      <c r="B433" s="2"/>
      <c r="C433" s="2"/>
      <c r="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</row>
    <row r="434" ht="15.75" customHeight="1">
      <c r="A434" s="2"/>
      <c r="B434" s="2"/>
      <c r="C434" s="2"/>
      <c r="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</row>
    <row r="435" ht="15.75" customHeight="1">
      <c r="A435" s="2"/>
      <c r="B435" s="2"/>
      <c r="C435" s="2"/>
      <c r="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</row>
    <row r="436" ht="15.75" customHeight="1">
      <c r="A436" s="2"/>
      <c r="B436" s="2"/>
      <c r="C436" s="2"/>
      <c r="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</row>
    <row r="437" ht="15.75" customHeight="1">
      <c r="A437" s="2"/>
      <c r="B437" s="2"/>
      <c r="C437" s="2"/>
      <c r="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</row>
    <row r="438" ht="15.75" customHeight="1">
      <c r="A438" s="2"/>
      <c r="B438" s="2"/>
      <c r="C438" s="2"/>
      <c r="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</row>
    <row r="439" ht="15.75" customHeight="1">
      <c r="A439" s="2"/>
      <c r="B439" s="2"/>
      <c r="C439" s="2"/>
      <c r="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</row>
    <row r="440" ht="15.75" customHeight="1">
      <c r="A440" s="2"/>
      <c r="B440" s="2"/>
      <c r="C440" s="2"/>
      <c r="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</row>
    <row r="441" ht="15.75" customHeight="1">
      <c r="A441" s="2"/>
      <c r="B441" s="2"/>
      <c r="C441" s="2"/>
      <c r="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</row>
    <row r="442" ht="15.75" customHeight="1">
      <c r="A442" s="2"/>
      <c r="B442" s="2"/>
      <c r="C442" s="2"/>
      <c r="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</row>
    <row r="443" ht="15.75" customHeight="1">
      <c r="A443" s="2"/>
      <c r="B443" s="2"/>
      <c r="C443" s="2"/>
      <c r="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</row>
    <row r="444" ht="15.75" customHeight="1">
      <c r="A444" s="2"/>
      <c r="B444" s="2"/>
      <c r="C444" s="2"/>
      <c r="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</row>
    <row r="445" ht="15.75" customHeight="1">
      <c r="A445" s="2"/>
      <c r="B445" s="2"/>
      <c r="C445" s="2"/>
      <c r="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</row>
    <row r="446" ht="15.75" customHeight="1">
      <c r="A446" s="2"/>
      <c r="B446" s="2"/>
      <c r="C446" s="2"/>
      <c r="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</row>
    <row r="447" ht="15.75" customHeight="1">
      <c r="A447" s="2"/>
      <c r="B447" s="2"/>
      <c r="C447" s="2"/>
      <c r="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</row>
    <row r="448" ht="15.75" customHeight="1">
      <c r="A448" s="2"/>
      <c r="B448" s="2"/>
      <c r="C448" s="2"/>
      <c r="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</row>
    <row r="449" ht="15.75" customHeight="1">
      <c r="A449" s="2"/>
      <c r="B449" s="2"/>
      <c r="C449" s="2"/>
      <c r="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</row>
    <row r="450" ht="15.75" customHeight="1">
      <c r="A450" s="2"/>
      <c r="B450" s="2"/>
      <c r="C450" s="2"/>
      <c r="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</row>
    <row r="451" ht="15.75" customHeight="1">
      <c r="A451" s="2"/>
      <c r="B451" s="2"/>
      <c r="C451" s="2"/>
      <c r="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</row>
    <row r="452" ht="15.75" customHeight="1">
      <c r="A452" s="2"/>
      <c r="B452" s="2"/>
      <c r="C452" s="2"/>
      <c r="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</row>
    <row r="453" ht="15.75" customHeight="1">
      <c r="A453" s="2"/>
      <c r="B453" s="2"/>
      <c r="C453" s="2"/>
      <c r="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</row>
    <row r="454" ht="15.75" customHeight="1">
      <c r="A454" s="2"/>
      <c r="B454" s="2"/>
      <c r="C454" s="2"/>
      <c r="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</row>
    <row r="455" ht="15.75" customHeight="1">
      <c r="A455" s="2"/>
      <c r="B455" s="2"/>
      <c r="C455" s="2"/>
      <c r="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</row>
    <row r="456" ht="15.75" customHeight="1">
      <c r="A456" s="2"/>
      <c r="B456" s="2"/>
      <c r="C456" s="2"/>
      <c r="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</row>
    <row r="457" ht="15.75" customHeight="1">
      <c r="A457" s="2"/>
      <c r="B457" s="2"/>
      <c r="C457" s="2"/>
      <c r="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</row>
    <row r="458" ht="15.75" customHeight="1">
      <c r="A458" s="2"/>
      <c r="B458" s="2"/>
      <c r="C458" s="2"/>
      <c r="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</row>
    <row r="459" ht="15.75" customHeight="1">
      <c r="A459" s="2"/>
      <c r="B459" s="2"/>
      <c r="C459" s="2"/>
      <c r="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</row>
    <row r="460" ht="15.75" customHeight="1">
      <c r="A460" s="2"/>
      <c r="B460" s="2"/>
      <c r="C460" s="2"/>
      <c r="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</row>
    <row r="461" ht="15.75" customHeight="1">
      <c r="A461" s="2"/>
      <c r="B461" s="2"/>
      <c r="C461" s="2"/>
      <c r="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</row>
    <row r="462" ht="15.75" customHeight="1">
      <c r="A462" s="2"/>
      <c r="B462" s="2"/>
      <c r="C462" s="2"/>
      <c r="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</row>
    <row r="463" ht="15.75" customHeight="1">
      <c r="A463" s="2"/>
      <c r="B463" s="2"/>
      <c r="C463" s="2"/>
      <c r="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</row>
    <row r="464" ht="15.75" customHeight="1">
      <c r="A464" s="2"/>
      <c r="B464" s="2"/>
      <c r="C464" s="2"/>
      <c r="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</row>
    <row r="465" ht="15.75" customHeight="1">
      <c r="A465" s="2"/>
      <c r="B465" s="2"/>
      <c r="C465" s="2"/>
      <c r="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</row>
    <row r="466" ht="15.75" customHeight="1">
      <c r="A466" s="2"/>
      <c r="B466" s="2"/>
      <c r="C466" s="2"/>
      <c r="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</row>
    <row r="467" ht="15.75" customHeight="1">
      <c r="A467" s="2"/>
      <c r="B467" s="2"/>
      <c r="C467" s="2"/>
      <c r="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</row>
    <row r="468" ht="15.75" customHeight="1">
      <c r="A468" s="2"/>
      <c r="B468" s="2"/>
      <c r="C468" s="2"/>
      <c r="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</row>
    <row r="469" ht="15.75" customHeight="1">
      <c r="A469" s="2"/>
      <c r="B469" s="2"/>
      <c r="C469" s="2"/>
      <c r="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</row>
    <row r="470" ht="15.75" customHeight="1">
      <c r="A470" s="2"/>
      <c r="B470" s="2"/>
      <c r="C470" s="2"/>
      <c r="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</row>
    <row r="471" ht="15.75" customHeight="1">
      <c r="A471" s="2"/>
      <c r="B471" s="2"/>
      <c r="C471" s="2"/>
      <c r="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</row>
    <row r="472" ht="15.75" customHeight="1">
      <c r="A472" s="2"/>
      <c r="B472" s="2"/>
      <c r="C472" s="2"/>
      <c r="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</row>
    <row r="473" ht="15.75" customHeight="1">
      <c r="A473" s="2"/>
      <c r="B473" s="2"/>
      <c r="C473" s="2"/>
      <c r="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</row>
    <row r="474" ht="15.75" customHeight="1">
      <c r="A474" s="2"/>
      <c r="B474" s="2"/>
      <c r="C474" s="2"/>
      <c r="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</row>
    <row r="475" ht="15.75" customHeight="1">
      <c r="A475" s="2"/>
      <c r="B475" s="2"/>
      <c r="C475" s="2"/>
      <c r="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</row>
    <row r="476" ht="15.75" customHeight="1">
      <c r="A476" s="2"/>
      <c r="B476" s="2"/>
      <c r="C476" s="2"/>
      <c r="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</row>
    <row r="477" ht="15.75" customHeight="1">
      <c r="A477" s="2"/>
      <c r="B477" s="2"/>
      <c r="C477" s="2"/>
      <c r="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</row>
    <row r="478" ht="15.75" customHeight="1">
      <c r="A478" s="2"/>
      <c r="B478" s="2"/>
      <c r="C478" s="2"/>
      <c r="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</row>
    <row r="479" ht="15.75" customHeight="1">
      <c r="A479" s="2"/>
      <c r="B479" s="2"/>
      <c r="C479" s="2"/>
      <c r="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</row>
    <row r="480" ht="15.75" customHeight="1">
      <c r="A480" s="2"/>
      <c r="B480" s="2"/>
      <c r="C480" s="2"/>
      <c r="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</row>
    <row r="481" ht="15.75" customHeight="1">
      <c r="A481" s="2"/>
      <c r="B481" s="2"/>
      <c r="C481" s="2"/>
      <c r="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</row>
    <row r="482" ht="15.75" customHeight="1">
      <c r="A482" s="2"/>
      <c r="B482" s="2"/>
      <c r="C482" s="2"/>
      <c r="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</row>
    <row r="483" ht="15.75" customHeight="1">
      <c r="A483" s="2"/>
      <c r="B483" s="2"/>
      <c r="C483" s="2"/>
      <c r="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</row>
    <row r="484" ht="15.75" customHeight="1">
      <c r="A484" s="2"/>
      <c r="B484" s="2"/>
      <c r="C484" s="2"/>
      <c r="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</row>
    <row r="485" ht="15.75" customHeight="1">
      <c r="A485" s="2"/>
      <c r="B485" s="2"/>
      <c r="C485" s="2"/>
      <c r="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</row>
    <row r="486" ht="15.75" customHeight="1">
      <c r="A486" s="2"/>
      <c r="B486" s="2"/>
      <c r="C486" s="2"/>
      <c r="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</row>
    <row r="487" ht="15.75" customHeight="1">
      <c r="A487" s="2"/>
      <c r="B487" s="2"/>
      <c r="C487" s="2"/>
      <c r="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</row>
    <row r="488" ht="15.75" customHeight="1">
      <c r="A488" s="2"/>
      <c r="B488" s="2"/>
      <c r="C488" s="2"/>
      <c r="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</row>
    <row r="489" ht="15.75" customHeight="1">
      <c r="A489" s="2"/>
      <c r="B489" s="2"/>
      <c r="C489" s="2"/>
      <c r="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</row>
    <row r="490" ht="15.75" customHeight="1">
      <c r="A490" s="2"/>
      <c r="B490" s="2"/>
      <c r="C490" s="2"/>
      <c r="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</row>
    <row r="491" ht="15.75" customHeight="1">
      <c r="A491" s="2"/>
      <c r="B491" s="2"/>
      <c r="C491" s="2"/>
      <c r="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</row>
    <row r="492" ht="15.75" customHeight="1">
      <c r="A492" s="2"/>
      <c r="B492" s="2"/>
      <c r="C492" s="2"/>
      <c r="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</row>
    <row r="493" ht="15.75" customHeight="1">
      <c r="A493" s="2"/>
      <c r="B493" s="2"/>
      <c r="C493" s="2"/>
      <c r="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</row>
    <row r="494" ht="15.75" customHeight="1">
      <c r="A494" s="2"/>
      <c r="B494" s="2"/>
      <c r="C494" s="2"/>
      <c r="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</row>
    <row r="495" ht="15.75" customHeight="1">
      <c r="A495" s="2"/>
      <c r="B495" s="2"/>
      <c r="C495" s="2"/>
      <c r="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</row>
    <row r="496" ht="15.75" customHeight="1">
      <c r="A496" s="2"/>
      <c r="B496" s="2"/>
      <c r="C496" s="2"/>
      <c r="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</row>
    <row r="497" ht="15.75" customHeight="1">
      <c r="A497" s="2"/>
      <c r="B497" s="2"/>
      <c r="C497" s="2"/>
      <c r="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</row>
    <row r="498" ht="15.75" customHeight="1">
      <c r="A498" s="2"/>
      <c r="B498" s="2"/>
      <c r="C498" s="2"/>
      <c r="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</row>
    <row r="499" ht="15.75" customHeight="1">
      <c r="A499" s="2"/>
      <c r="B499" s="2"/>
      <c r="C499" s="2"/>
      <c r="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</row>
    <row r="500" ht="15.75" customHeight="1">
      <c r="A500" s="2"/>
      <c r="B500" s="2"/>
      <c r="C500" s="2"/>
      <c r="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</row>
    <row r="501" ht="15.75" customHeight="1">
      <c r="A501" s="2"/>
      <c r="B501" s="2"/>
      <c r="C501" s="2"/>
      <c r="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</row>
    <row r="502" ht="15.75" customHeight="1">
      <c r="A502" s="2"/>
      <c r="B502" s="2"/>
      <c r="C502" s="2"/>
      <c r="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</row>
    <row r="503" ht="15.75" customHeight="1">
      <c r="A503" s="2"/>
      <c r="B503" s="2"/>
      <c r="C503" s="2"/>
      <c r="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</row>
    <row r="504" ht="15.75" customHeight="1">
      <c r="A504" s="2"/>
      <c r="B504" s="2"/>
      <c r="C504" s="2"/>
      <c r="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</row>
    <row r="505" ht="15.75" customHeight="1">
      <c r="A505" s="2"/>
      <c r="B505" s="2"/>
      <c r="C505" s="2"/>
      <c r="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</row>
    <row r="506" ht="15.75" customHeight="1">
      <c r="A506" s="2"/>
      <c r="B506" s="2"/>
      <c r="C506" s="2"/>
      <c r="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</row>
    <row r="507" ht="15.75" customHeight="1">
      <c r="A507" s="2"/>
      <c r="B507" s="2"/>
      <c r="C507" s="2"/>
      <c r="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</row>
    <row r="508" ht="15.75" customHeight="1">
      <c r="A508" s="2"/>
      <c r="B508" s="2"/>
      <c r="C508" s="2"/>
      <c r="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</row>
    <row r="509" ht="15.75" customHeight="1">
      <c r="A509" s="2"/>
      <c r="B509" s="2"/>
      <c r="C509" s="2"/>
      <c r="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</row>
    <row r="510" ht="15.75" customHeight="1">
      <c r="A510" s="2"/>
      <c r="B510" s="2"/>
      <c r="C510" s="2"/>
      <c r="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</row>
    <row r="511" ht="15.75" customHeight="1">
      <c r="A511" s="2"/>
      <c r="B511" s="2"/>
      <c r="C511" s="2"/>
      <c r="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</row>
    <row r="512" ht="15.75" customHeight="1">
      <c r="A512" s="2"/>
      <c r="B512" s="2"/>
      <c r="C512" s="2"/>
      <c r="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</row>
    <row r="513" ht="15.75" customHeight="1">
      <c r="A513" s="2"/>
      <c r="B513" s="2"/>
      <c r="C513" s="2"/>
      <c r="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</row>
    <row r="514" ht="15.75" customHeight="1">
      <c r="A514" s="2"/>
      <c r="B514" s="2"/>
      <c r="C514" s="2"/>
      <c r="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</row>
    <row r="515" ht="15.75" customHeight="1">
      <c r="A515" s="2"/>
      <c r="B515" s="2"/>
      <c r="C515" s="2"/>
      <c r="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</row>
    <row r="516" ht="15.75" customHeight="1">
      <c r="A516" s="2"/>
      <c r="B516" s="2"/>
      <c r="C516" s="2"/>
      <c r="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</row>
    <row r="517" ht="15.75" customHeight="1">
      <c r="A517" s="2"/>
      <c r="B517" s="2"/>
      <c r="C517" s="2"/>
      <c r="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</row>
    <row r="518" ht="15.75" customHeight="1">
      <c r="A518" s="2"/>
      <c r="B518" s="2"/>
      <c r="C518" s="2"/>
      <c r="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</row>
    <row r="519" ht="15.75" customHeight="1">
      <c r="A519" s="2"/>
      <c r="B519" s="2"/>
      <c r="C519" s="2"/>
      <c r="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</row>
    <row r="520" ht="15.75" customHeight="1">
      <c r="A520" s="2"/>
      <c r="B520" s="2"/>
      <c r="C520" s="2"/>
      <c r="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</row>
    <row r="521" ht="15.75" customHeight="1">
      <c r="A521" s="2"/>
      <c r="B521" s="2"/>
      <c r="C521" s="2"/>
      <c r="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</row>
    <row r="522" ht="15.75" customHeight="1">
      <c r="A522" s="2"/>
      <c r="B522" s="2"/>
      <c r="C522" s="2"/>
      <c r="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</row>
    <row r="523" ht="15.75" customHeight="1">
      <c r="A523" s="2"/>
      <c r="B523" s="2"/>
      <c r="C523" s="2"/>
      <c r="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</row>
    <row r="524" ht="15.75" customHeight="1">
      <c r="A524" s="2"/>
      <c r="B524" s="2"/>
      <c r="C524" s="2"/>
      <c r="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</row>
    <row r="525" ht="15.75" customHeight="1">
      <c r="A525" s="2"/>
      <c r="B525" s="2"/>
      <c r="C525" s="2"/>
      <c r="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</row>
    <row r="526" ht="15.75" customHeight="1">
      <c r="A526" s="2"/>
      <c r="B526" s="2"/>
      <c r="C526" s="2"/>
      <c r="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</row>
    <row r="527" ht="15.75" customHeight="1">
      <c r="A527" s="2"/>
      <c r="B527" s="2"/>
      <c r="C527" s="2"/>
      <c r="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</row>
    <row r="528" ht="15.75" customHeight="1">
      <c r="A528" s="2"/>
      <c r="B528" s="2"/>
      <c r="C528" s="2"/>
      <c r="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</row>
    <row r="529" ht="15.75" customHeight="1">
      <c r="A529" s="2"/>
      <c r="B529" s="2"/>
      <c r="C529" s="2"/>
      <c r="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</row>
    <row r="530" ht="15.75" customHeight="1">
      <c r="A530" s="2"/>
      <c r="B530" s="2"/>
      <c r="C530" s="2"/>
      <c r="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</row>
    <row r="531" ht="15.75" customHeight="1">
      <c r="A531" s="2"/>
      <c r="B531" s="2"/>
      <c r="C531" s="2"/>
      <c r="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</row>
    <row r="532" ht="15.75" customHeight="1">
      <c r="A532" s="2"/>
      <c r="B532" s="2"/>
      <c r="C532" s="2"/>
      <c r="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</row>
    <row r="533" ht="15.75" customHeight="1">
      <c r="A533" s="2"/>
      <c r="B533" s="2"/>
      <c r="C533" s="2"/>
      <c r="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</row>
    <row r="534" ht="15.75" customHeight="1">
      <c r="A534" s="2"/>
      <c r="B534" s="2"/>
      <c r="C534" s="2"/>
      <c r="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</row>
    <row r="535" ht="15.75" customHeight="1">
      <c r="A535" s="2"/>
      <c r="B535" s="2"/>
      <c r="C535" s="2"/>
      <c r="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</row>
    <row r="536" ht="15.75" customHeight="1">
      <c r="A536" s="2"/>
      <c r="B536" s="2"/>
      <c r="C536" s="2"/>
      <c r="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</row>
    <row r="537" ht="15.75" customHeight="1">
      <c r="A537" s="2"/>
      <c r="B537" s="2"/>
      <c r="C537" s="2"/>
      <c r="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</row>
    <row r="538" ht="15.75" customHeight="1">
      <c r="A538" s="2"/>
      <c r="B538" s="2"/>
      <c r="C538" s="2"/>
      <c r="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</row>
    <row r="539" ht="15.75" customHeight="1">
      <c r="A539" s="2"/>
      <c r="B539" s="2"/>
      <c r="C539" s="2"/>
      <c r="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</row>
    <row r="540" ht="15.75" customHeight="1">
      <c r="A540" s="2"/>
      <c r="B540" s="2"/>
      <c r="C540" s="2"/>
      <c r="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</row>
    <row r="541" ht="15.75" customHeight="1">
      <c r="A541" s="2"/>
      <c r="B541" s="2"/>
      <c r="C541" s="2"/>
      <c r="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</row>
    <row r="542" ht="15.75" customHeight="1">
      <c r="A542" s="2"/>
      <c r="B542" s="2"/>
      <c r="C542" s="2"/>
      <c r="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</row>
    <row r="543" ht="15.75" customHeight="1">
      <c r="A543" s="2"/>
      <c r="B543" s="2"/>
      <c r="C543" s="2"/>
      <c r="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</row>
    <row r="544" ht="15.75" customHeight="1">
      <c r="A544" s="2"/>
      <c r="B544" s="2"/>
      <c r="C544" s="2"/>
      <c r="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</row>
    <row r="545" ht="15.75" customHeight="1">
      <c r="A545" s="2"/>
      <c r="B545" s="2"/>
      <c r="C545" s="2"/>
      <c r="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</row>
    <row r="546" ht="15.75" customHeight="1">
      <c r="A546" s="2"/>
      <c r="B546" s="2"/>
      <c r="C546" s="2"/>
      <c r="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</row>
    <row r="547" ht="15.75" customHeight="1">
      <c r="A547" s="2"/>
      <c r="B547" s="2"/>
      <c r="C547" s="2"/>
      <c r="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</row>
    <row r="548" ht="15.75" customHeight="1">
      <c r="A548" s="2"/>
      <c r="B548" s="2"/>
      <c r="C548" s="2"/>
      <c r="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</row>
    <row r="549" ht="15.75" customHeight="1">
      <c r="A549" s="2"/>
      <c r="B549" s="2"/>
      <c r="C549" s="2"/>
      <c r="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</row>
    <row r="550" ht="15.75" customHeight="1">
      <c r="A550" s="2"/>
      <c r="B550" s="2"/>
      <c r="C550" s="2"/>
      <c r="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</row>
    <row r="551" ht="15.75" customHeight="1">
      <c r="A551" s="2"/>
      <c r="B551" s="2"/>
      <c r="C551" s="2"/>
      <c r="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</row>
    <row r="552" ht="15.75" customHeight="1">
      <c r="A552" s="2"/>
      <c r="B552" s="2"/>
      <c r="C552" s="2"/>
      <c r="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</row>
    <row r="553" ht="15.75" customHeight="1">
      <c r="A553" s="2"/>
      <c r="B553" s="2"/>
      <c r="C553" s="2"/>
      <c r="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</row>
    <row r="554" ht="15.75" customHeight="1">
      <c r="A554" s="2"/>
      <c r="B554" s="2"/>
      <c r="C554" s="2"/>
      <c r="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</row>
    <row r="555" ht="15.75" customHeight="1">
      <c r="A555" s="2"/>
      <c r="B555" s="2"/>
      <c r="C555" s="2"/>
      <c r="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</row>
    <row r="556" ht="15.75" customHeight="1">
      <c r="A556" s="2"/>
      <c r="B556" s="2"/>
      <c r="C556" s="2"/>
      <c r="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</row>
    <row r="557" ht="15.75" customHeight="1">
      <c r="A557" s="2"/>
      <c r="B557" s="2"/>
      <c r="C557" s="2"/>
      <c r="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</row>
    <row r="558" ht="15.75" customHeight="1">
      <c r="A558" s="2"/>
      <c r="B558" s="2"/>
      <c r="C558" s="2"/>
      <c r="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</row>
    <row r="559" ht="15.75" customHeight="1">
      <c r="A559" s="2"/>
      <c r="B559" s="2"/>
      <c r="C559" s="2"/>
      <c r="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</row>
    <row r="560" ht="15.75" customHeight="1">
      <c r="A560" s="2"/>
      <c r="B560" s="2"/>
      <c r="C560" s="2"/>
      <c r="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</row>
    <row r="561" ht="15.75" customHeight="1">
      <c r="A561" s="2"/>
      <c r="B561" s="2"/>
      <c r="C561" s="2"/>
      <c r="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</row>
    <row r="562" ht="15.75" customHeight="1">
      <c r="A562" s="2"/>
      <c r="B562" s="2"/>
      <c r="C562" s="2"/>
      <c r="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</row>
    <row r="563" ht="15.75" customHeight="1">
      <c r="A563" s="2"/>
      <c r="B563" s="2"/>
      <c r="C563" s="2"/>
      <c r="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</row>
    <row r="564" ht="15.75" customHeight="1">
      <c r="A564" s="2"/>
      <c r="B564" s="2"/>
      <c r="C564" s="2"/>
      <c r="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</row>
    <row r="565" ht="15.75" customHeight="1">
      <c r="A565" s="2"/>
      <c r="B565" s="2"/>
      <c r="C565" s="2"/>
      <c r="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</row>
    <row r="566" ht="15.75" customHeight="1">
      <c r="A566" s="2"/>
      <c r="B566" s="2"/>
      <c r="C566" s="2"/>
      <c r="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</row>
    <row r="567" ht="15.75" customHeight="1">
      <c r="A567" s="2"/>
      <c r="B567" s="2"/>
      <c r="C567" s="2"/>
      <c r="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</row>
    <row r="568" ht="15.75" customHeight="1">
      <c r="A568" s="2"/>
      <c r="B568" s="2"/>
      <c r="C568" s="2"/>
      <c r="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</row>
    <row r="569" ht="15.75" customHeight="1">
      <c r="A569" s="2"/>
      <c r="B569" s="2"/>
      <c r="C569" s="2"/>
      <c r="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</row>
    <row r="570" ht="15.75" customHeight="1">
      <c r="A570" s="2"/>
      <c r="B570" s="2"/>
      <c r="C570" s="2"/>
      <c r="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</row>
    <row r="571" ht="15.75" customHeight="1">
      <c r="A571" s="2"/>
      <c r="B571" s="2"/>
      <c r="C571" s="2"/>
      <c r="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</row>
    <row r="572" ht="15.75" customHeight="1">
      <c r="A572" s="2"/>
      <c r="B572" s="2"/>
      <c r="C572" s="2"/>
      <c r="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</row>
    <row r="573" ht="15.75" customHeight="1">
      <c r="A573" s="2"/>
      <c r="B573" s="2"/>
      <c r="C573" s="2"/>
      <c r="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</row>
    <row r="574" ht="15.75" customHeight="1">
      <c r="A574" s="2"/>
      <c r="B574" s="2"/>
      <c r="C574" s="2"/>
      <c r="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</row>
    <row r="575" ht="15.75" customHeight="1">
      <c r="A575" s="2"/>
      <c r="B575" s="2"/>
      <c r="C575" s="2"/>
      <c r="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</row>
    <row r="576" ht="15.75" customHeight="1">
      <c r="A576" s="2"/>
      <c r="B576" s="2"/>
      <c r="C576" s="2"/>
      <c r="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</row>
    <row r="577" ht="15.75" customHeight="1">
      <c r="A577" s="2"/>
      <c r="B577" s="2"/>
      <c r="C577" s="2"/>
      <c r="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</row>
    <row r="578" ht="15.75" customHeight="1">
      <c r="A578" s="2"/>
      <c r="B578" s="2"/>
      <c r="C578" s="2"/>
      <c r="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</row>
    <row r="579" ht="15.75" customHeight="1">
      <c r="A579" s="2"/>
      <c r="B579" s="2"/>
      <c r="C579" s="2"/>
      <c r="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</row>
    <row r="580" ht="15.75" customHeight="1">
      <c r="A580" s="2"/>
      <c r="B580" s="2"/>
      <c r="C580" s="2"/>
      <c r="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</row>
    <row r="581" ht="15.75" customHeight="1">
      <c r="A581" s="2"/>
      <c r="B581" s="2"/>
      <c r="C581" s="2"/>
      <c r="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</row>
    <row r="582" ht="15.75" customHeight="1">
      <c r="A582" s="2"/>
      <c r="B582" s="2"/>
      <c r="C582" s="2"/>
      <c r="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</row>
    <row r="583" ht="15.75" customHeight="1">
      <c r="A583" s="2"/>
      <c r="B583" s="2"/>
      <c r="C583" s="2"/>
      <c r="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</row>
    <row r="584" ht="15.75" customHeight="1">
      <c r="A584" s="2"/>
      <c r="B584" s="2"/>
      <c r="C584" s="2"/>
      <c r="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</row>
    <row r="585" ht="15.75" customHeight="1">
      <c r="A585" s="2"/>
      <c r="B585" s="2"/>
      <c r="C585" s="2"/>
      <c r="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</row>
    <row r="586" ht="15.75" customHeight="1">
      <c r="A586" s="2"/>
      <c r="B586" s="2"/>
      <c r="C586" s="2"/>
      <c r="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</row>
    <row r="587" ht="15.75" customHeight="1">
      <c r="A587" s="2"/>
      <c r="B587" s="2"/>
      <c r="C587" s="2"/>
      <c r="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</row>
    <row r="588" ht="15.75" customHeight="1">
      <c r="A588" s="2"/>
      <c r="B588" s="2"/>
      <c r="C588" s="2"/>
      <c r="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</row>
    <row r="589" ht="15.75" customHeight="1">
      <c r="A589" s="2"/>
      <c r="B589" s="2"/>
      <c r="C589" s="2"/>
      <c r="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</row>
    <row r="590" ht="15.75" customHeight="1">
      <c r="A590" s="2"/>
      <c r="B590" s="2"/>
      <c r="C590" s="2"/>
      <c r="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</row>
    <row r="591" ht="15.75" customHeight="1">
      <c r="A591" s="2"/>
      <c r="B591" s="2"/>
      <c r="C591" s="2"/>
      <c r="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</row>
    <row r="592" ht="15.75" customHeight="1">
      <c r="A592" s="2"/>
      <c r="B592" s="2"/>
      <c r="C592" s="2"/>
      <c r="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</row>
    <row r="593" ht="15.75" customHeight="1">
      <c r="A593" s="2"/>
      <c r="B593" s="2"/>
      <c r="C593" s="2"/>
      <c r="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</row>
    <row r="594" ht="15.75" customHeight="1">
      <c r="A594" s="2"/>
      <c r="B594" s="2"/>
      <c r="C594" s="2"/>
      <c r="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</row>
    <row r="595" ht="15.75" customHeight="1">
      <c r="A595" s="2"/>
      <c r="B595" s="2"/>
      <c r="C595" s="2"/>
      <c r="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</row>
    <row r="596" ht="15.75" customHeight="1">
      <c r="A596" s="2"/>
      <c r="B596" s="2"/>
      <c r="C596" s="2"/>
      <c r="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</row>
    <row r="597" ht="15.75" customHeight="1">
      <c r="A597" s="2"/>
      <c r="B597" s="2"/>
      <c r="C597" s="2"/>
      <c r="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</row>
    <row r="598" ht="15.75" customHeight="1">
      <c r="A598" s="2"/>
      <c r="B598" s="2"/>
      <c r="C598" s="2"/>
      <c r="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</row>
    <row r="599" ht="15.75" customHeight="1">
      <c r="A599" s="2"/>
      <c r="B599" s="2"/>
      <c r="C599" s="2"/>
      <c r="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</row>
    <row r="600" ht="15.75" customHeight="1">
      <c r="A600" s="2"/>
      <c r="B600" s="2"/>
      <c r="C600" s="2"/>
      <c r="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</row>
    <row r="601" ht="15.75" customHeight="1">
      <c r="A601" s="2"/>
      <c r="B601" s="2"/>
      <c r="C601" s="2"/>
      <c r="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</row>
    <row r="602" ht="15.75" customHeight="1">
      <c r="A602" s="2"/>
      <c r="B602" s="2"/>
      <c r="C602" s="2"/>
      <c r="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</row>
    <row r="603" ht="15.75" customHeight="1">
      <c r="A603" s="2"/>
      <c r="B603" s="2"/>
      <c r="C603" s="2"/>
      <c r="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</row>
    <row r="604" ht="15.75" customHeight="1">
      <c r="A604" s="2"/>
      <c r="B604" s="2"/>
      <c r="C604" s="2"/>
      <c r="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</row>
    <row r="605" ht="15.75" customHeight="1">
      <c r="A605" s="2"/>
      <c r="B605" s="2"/>
      <c r="C605" s="2"/>
      <c r="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</row>
    <row r="606" ht="15.75" customHeight="1">
      <c r="A606" s="2"/>
      <c r="B606" s="2"/>
      <c r="C606" s="2"/>
      <c r="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</row>
    <row r="607" ht="15.75" customHeight="1">
      <c r="A607" s="2"/>
      <c r="B607" s="2"/>
      <c r="C607" s="2"/>
      <c r="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</row>
    <row r="608" ht="15.75" customHeight="1">
      <c r="A608" s="2"/>
      <c r="B608" s="2"/>
      <c r="C608" s="2"/>
      <c r="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</row>
    <row r="609" ht="15.75" customHeight="1">
      <c r="A609" s="2"/>
      <c r="B609" s="2"/>
      <c r="C609" s="2"/>
      <c r="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</row>
    <row r="610" ht="15.75" customHeight="1">
      <c r="A610" s="2"/>
      <c r="B610" s="2"/>
      <c r="C610" s="2"/>
      <c r="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</row>
    <row r="611" ht="15.75" customHeight="1">
      <c r="A611" s="2"/>
      <c r="B611" s="2"/>
      <c r="C611" s="2"/>
      <c r="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</row>
    <row r="612" ht="15.75" customHeight="1">
      <c r="A612" s="2"/>
      <c r="B612" s="2"/>
      <c r="C612" s="2"/>
      <c r="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</row>
    <row r="613" ht="15.75" customHeight="1">
      <c r="A613" s="2"/>
      <c r="B613" s="2"/>
      <c r="C613" s="2"/>
      <c r="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</row>
    <row r="614" ht="15.75" customHeight="1">
      <c r="A614" s="2"/>
      <c r="B614" s="2"/>
      <c r="C614" s="2"/>
      <c r="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</row>
    <row r="615" ht="15.75" customHeight="1">
      <c r="A615" s="2"/>
      <c r="B615" s="2"/>
      <c r="C615" s="2"/>
      <c r="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</row>
    <row r="616" ht="15.75" customHeight="1">
      <c r="A616" s="2"/>
      <c r="B616" s="2"/>
      <c r="C616" s="2"/>
      <c r="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</row>
    <row r="617" ht="15.75" customHeight="1">
      <c r="A617" s="2"/>
      <c r="B617" s="2"/>
      <c r="C617" s="2"/>
      <c r="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</row>
    <row r="618" ht="15.75" customHeight="1">
      <c r="A618" s="2"/>
      <c r="B618" s="2"/>
      <c r="C618" s="2"/>
      <c r="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</row>
    <row r="619" ht="15.75" customHeight="1">
      <c r="A619" s="2"/>
      <c r="B619" s="2"/>
      <c r="C619" s="2"/>
      <c r="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</row>
    <row r="620" ht="15.75" customHeight="1">
      <c r="A620" s="2"/>
      <c r="B620" s="2"/>
      <c r="C620" s="2"/>
      <c r="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</row>
    <row r="621" ht="15.75" customHeight="1">
      <c r="A621" s="2"/>
      <c r="B621" s="2"/>
      <c r="C621" s="2"/>
      <c r="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</row>
    <row r="622" ht="15.75" customHeight="1">
      <c r="A622" s="2"/>
      <c r="B622" s="2"/>
      <c r="C622" s="2"/>
      <c r="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</row>
    <row r="623" ht="15.75" customHeight="1">
      <c r="A623" s="2"/>
      <c r="B623" s="2"/>
      <c r="C623" s="2"/>
      <c r="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</row>
    <row r="624" ht="15.75" customHeight="1">
      <c r="A624" s="2"/>
      <c r="B624" s="2"/>
      <c r="C624" s="2"/>
      <c r="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</row>
    <row r="625" ht="15.75" customHeight="1">
      <c r="A625" s="2"/>
      <c r="B625" s="2"/>
      <c r="C625" s="2"/>
      <c r="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</row>
    <row r="626" ht="15.75" customHeight="1">
      <c r="A626" s="2"/>
      <c r="B626" s="2"/>
      <c r="C626" s="2"/>
      <c r="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</row>
    <row r="627" ht="15.75" customHeight="1">
      <c r="A627" s="2"/>
      <c r="B627" s="2"/>
      <c r="C627" s="2"/>
      <c r="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</row>
    <row r="628" ht="15.75" customHeight="1">
      <c r="A628" s="2"/>
      <c r="B628" s="2"/>
      <c r="C628" s="2"/>
      <c r="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</row>
    <row r="629" ht="15.75" customHeight="1">
      <c r="A629" s="2"/>
      <c r="B629" s="2"/>
      <c r="C629" s="2"/>
      <c r="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</row>
    <row r="630" ht="15.75" customHeight="1">
      <c r="A630" s="2"/>
      <c r="B630" s="2"/>
      <c r="C630" s="2"/>
      <c r="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</row>
    <row r="631" ht="15.75" customHeight="1">
      <c r="A631" s="2"/>
      <c r="B631" s="2"/>
      <c r="C631" s="2"/>
      <c r="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</row>
    <row r="632" ht="15.75" customHeight="1">
      <c r="A632" s="2"/>
      <c r="B632" s="2"/>
      <c r="C632" s="2"/>
      <c r="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</row>
    <row r="633" ht="15.75" customHeight="1">
      <c r="A633" s="2"/>
      <c r="B633" s="2"/>
      <c r="C633" s="2"/>
      <c r="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</row>
    <row r="634" ht="15.75" customHeight="1">
      <c r="A634" s="2"/>
      <c r="B634" s="2"/>
      <c r="C634" s="2"/>
      <c r="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</row>
    <row r="635" ht="15.75" customHeight="1">
      <c r="A635" s="2"/>
      <c r="B635" s="2"/>
      <c r="C635" s="2"/>
      <c r="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</row>
    <row r="636" ht="15.75" customHeight="1">
      <c r="A636" s="2"/>
      <c r="B636" s="2"/>
      <c r="C636" s="2"/>
      <c r="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</row>
    <row r="637" ht="15.75" customHeight="1">
      <c r="A637" s="2"/>
      <c r="B637" s="2"/>
      <c r="C637" s="2"/>
      <c r="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</row>
    <row r="638" ht="15.75" customHeight="1">
      <c r="A638" s="2"/>
      <c r="B638" s="2"/>
      <c r="C638" s="2"/>
      <c r="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</row>
    <row r="639" ht="15.75" customHeight="1">
      <c r="A639" s="2"/>
      <c r="B639" s="2"/>
      <c r="C639" s="2"/>
      <c r="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</row>
    <row r="640" ht="15.75" customHeight="1">
      <c r="A640" s="2"/>
      <c r="B640" s="2"/>
      <c r="C640" s="2"/>
      <c r="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</row>
    <row r="641" ht="15.75" customHeight="1">
      <c r="A641" s="2"/>
      <c r="B641" s="2"/>
      <c r="C641" s="2"/>
      <c r="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</row>
    <row r="642" ht="15.75" customHeight="1">
      <c r="A642" s="2"/>
      <c r="B642" s="2"/>
      <c r="C642" s="2"/>
      <c r="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</row>
    <row r="643" ht="15.75" customHeight="1">
      <c r="A643" s="2"/>
      <c r="B643" s="2"/>
      <c r="C643" s="2"/>
      <c r="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</row>
    <row r="644" ht="15.75" customHeight="1">
      <c r="A644" s="2"/>
      <c r="B644" s="2"/>
      <c r="C644" s="2"/>
      <c r="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</row>
    <row r="645" ht="15.75" customHeight="1">
      <c r="A645" s="2"/>
      <c r="B645" s="2"/>
      <c r="C645" s="2"/>
      <c r="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</row>
    <row r="646" ht="15.75" customHeight="1">
      <c r="A646" s="2"/>
      <c r="B646" s="2"/>
      <c r="C646" s="2"/>
      <c r="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</row>
    <row r="647" ht="15.75" customHeight="1">
      <c r="A647" s="2"/>
      <c r="B647" s="2"/>
      <c r="C647" s="2"/>
      <c r="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</row>
    <row r="648" ht="15.75" customHeight="1">
      <c r="A648" s="2"/>
      <c r="B648" s="2"/>
      <c r="C648" s="2"/>
      <c r="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</row>
    <row r="649" ht="15.75" customHeight="1">
      <c r="A649" s="2"/>
      <c r="B649" s="2"/>
      <c r="C649" s="2"/>
      <c r="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</row>
    <row r="650" ht="15.75" customHeight="1">
      <c r="A650" s="2"/>
      <c r="B650" s="2"/>
      <c r="C650" s="2"/>
      <c r="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</row>
    <row r="651" ht="15.75" customHeight="1">
      <c r="A651" s="2"/>
      <c r="B651" s="2"/>
      <c r="C651" s="2"/>
      <c r="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</row>
    <row r="652" ht="15.75" customHeight="1">
      <c r="A652" s="2"/>
      <c r="B652" s="2"/>
      <c r="C652" s="2"/>
      <c r="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</row>
    <row r="653" ht="15.75" customHeight="1">
      <c r="A653" s="2"/>
      <c r="B653" s="2"/>
      <c r="C653" s="2"/>
      <c r="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</row>
    <row r="654" ht="15.75" customHeight="1">
      <c r="A654" s="2"/>
      <c r="B654" s="2"/>
      <c r="C654" s="2"/>
      <c r="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</row>
    <row r="655" ht="15.75" customHeight="1">
      <c r="A655" s="2"/>
      <c r="B655" s="2"/>
      <c r="C655" s="2"/>
      <c r="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</row>
    <row r="656" ht="15.75" customHeight="1">
      <c r="A656" s="2"/>
      <c r="B656" s="2"/>
      <c r="C656" s="2"/>
      <c r="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</row>
    <row r="657" ht="15.75" customHeight="1">
      <c r="A657" s="2"/>
      <c r="B657" s="2"/>
      <c r="C657" s="2"/>
      <c r="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</row>
    <row r="658" ht="15.75" customHeight="1">
      <c r="A658" s="2"/>
      <c r="B658" s="2"/>
      <c r="C658" s="2"/>
      <c r="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</row>
    <row r="659" ht="15.75" customHeight="1">
      <c r="A659" s="2"/>
      <c r="B659" s="2"/>
      <c r="C659" s="2"/>
      <c r="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</row>
    <row r="660" ht="15.75" customHeight="1">
      <c r="A660" s="2"/>
      <c r="B660" s="2"/>
      <c r="C660" s="2"/>
      <c r="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</row>
    <row r="661" ht="15.75" customHeight="1">
      <c r="A661" s="2"/>
      <c r="B661" s="2"/>
      <c r="C661" s="2"/>
      <c r="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</row>
    <row r="662" ht="15.75" customHeight="1">
      <c r="A662" s="2"/>
      <c r="B662" s="2"/>
      <c r="C662" s="2"/>
      <c r="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</row>
    <row r="663" ht="15.75" customHeight="1">
      <c r="A663" s="2"/>
      <c r="B663" s="2"/>
      <c r="C663" s="2"/>
      <c r="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</row>
    <row r="664" ht="15.75" customHeight="1">
      <c r="A664" s="2"/>
      <c r="B664" s="2"/>
      <c r="C664" s="2"/>
      <c r="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</row>
    <row r="665" ht="15.75" customHeight="1">
      <c r="A665" s="2"/>
      <c r="B665" s="2"/>
      <c r="C665" s="2"/>
      <c r="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</row>
    <row r="666" ht="15.75" customHeight="1">
      <c r="A666" s="2"/>
      <c r="B666" s="2"/>
      <c r="C666" s="2"/>
      <c r="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</row>
    <row r="667" ht="15.75" customHeight="1">
      <c r="A667" s="2"/>
      <c r="B667" s="2"/>
      <c r="C667" s="2"/>
      <c r="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</row>
    <row r="668" ht="15.75" customHeight="1">
      <c r="A668" s="2"/>
      <c r="B668" s="2"/>
      <c r="C668" s="2"/>
      <c r="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</row>
    <row r="669" ht="15.75" customHeight="1">
      <c r="A669" s="2"/>
      <c r="B669" s="2"/>
      <c r="C669" s="2"/>
      <c r="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</row>
    <row r="670" ht="15.75" customHeight="1">
      <c r="A670" s="2"/>
      <c r="B670" s="2"/>
      <c r="C670" s="2"/>
      <c r="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</row>
    <row r="671" ht="15.75" customHeight="1">
      <c r="A671" s="2"/>
      <c r="B671" s="2"/>
      <c r="C671" s="2"/>
      <c r="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</row>
    <row r="672" ht="15.75" customHeight="1">
      <c r="A672" s="2"/>
      <c r="B672" s="2"/>
      <c r="C672" s="2"/>
      <c r="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</row>
    <row r="673" ht="15.75" customHeight="1">
      <c r="A673" s="2"/>
      <c r="B673" s="2"/>
      <c r="C673" s="2"/>
      <c r="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</row>
    <row r="674" ht="15.75" customHeight="1">
      <c r="A674" s="2"/>
      <c r="B674" s="2"/>
      <c r="C674" s="2"/>
      <c r="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</row>
    <row r="675" ht="15.75" customHeight="1">
      <c r="A675" s="2"/>
      <c r="B675" s="2"/>
      <c r="C675" s="2"/>
      <c r="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</row>
    <row r="676" ht="15.75" customHeight="1">
      <c r="A676" s="2"/>
      <c r="B676" s="2"/>
      <c r="C676" s="2"/>
      <c r="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</row>
    <row r="677" ht="15.75" customHeight="1">
      <c r="A677" s="2"/>
      <c r="B677" s="2"/>
      <c r="C677" s="2"/>
      <c r="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</row>
    <row r="678" ht="15.75" customHeight="1">
      <c r="A678" s="2"/>
      <c r="B678" s="2"/>
      <c r="C678" s="2"/>
      <c r="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</row>
    <row r="679" ht="15.75" customHeight="1">
      <c r="A679" s="2"/>
      <c r="B679" s="2"/>
      <c r="C679" s="2"/>
      <c r="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</row>
    <row r="680" ht="15.75" customHeight="1">
      <c r="A680" s="2"/>
      <c r="B680" s="2"/>
      <c r="C680" s="2"/>
      <c r="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</row>
    <row r="681" ht="15.75" customHeight="1">
      <c r="A681" s="2"/>
      <c r="B681" s="2"/>
      <c r="C681" s="2"/>
      <c r="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</row>
    <row r="682" ht="15.75" customHeight="1">
      <c r="A682" s="2"/>
      <c r="B682" s="2"/>
      <c r="C682" s="2"/>
      <c r="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</row>
    <row r="683" ht="15.75" customHeight="1">
      <c r="A683" s="2"/>
      <c r="B683" s="2"/>
      <c r="C683" s="2"/>
      <c r="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</row>
    <row r="684" ht="15.75" customHeight="1">
      <c r="A684" s="2"/>
      <c r="B684" s="2"/>
      <c r="C684" s="2"/>
      <c r="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</row>
    <row r="685" ht="15.75" customHeight="1">
      <c r="A685" s="2"/>
      <c r="B685" s="2"/>
      <c r="C685" s="2"/>
      <c r="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</row>
    <row r="686" ht="15.75" customHeight="1">
      <c r="A686" s="2"/>
      <c r="B686" s="2"/>
      <c r="C686" s="2"/>
      <c r="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</row>
    <row r="687" ht="15.75" customHeight="1">
      <c r="A687" s="2"/>
      <c r="B687" s="2"/>
      <c r="C687" s="2"/>
      <c r="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</row>
    <row r="688" ht="15.75" customHeight="1">
      <c r="A688" s="2"/>
      <c r="B688" s="2"/>
      <c r="C688" s="2"/>
      <c r="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</row>
    <row r="689" ht="15.75" customHeight="1">
      <c r="A689" s="2"/>
      <c r="B689" s="2"/>
      <c r="C689" s="2"/>
      <c r="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</row>
    <row r="690" ht="15.75" customHeight="1">
      <c r="A690" s="2"/>
      <c r="B690" s="2"/>
      <c r="C690" s="2"/>
      <c r="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</row>
    <row r="691" ht="15.75" customHeight="1">
      <c r="A691" s="2"/>
      <c r="B691" s="2"/>
      <c r="C691" s="2"/>
      <c r="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</row>
    <row r="692" ht="15.75" customHeight="1">
      <c r="A692" s="2"/>
      <c r="B692" s="2"/>
      <c r="C692" s="2"/>
      <c r="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</row>
    <row r="693" ht="15.75" customHeight="1">
      <c r="A693" s="2"/>
      <c r="B693" s="2"/>
      <c r="C693" s="2"/>
      <c r="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</row>
    <row r="694" ht="15.75" customHeight="1">
      <c r="A694" s="2"/>
      <c r="B694" s="2"/>
      <c r="C694" s="2"/>
      <c r="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</row>
    <row r="695" ht="15.75" customHeight="1">
      <c r="A695" s="2"/>
      <c r="B695" s="2"/>
      <c r="C695" s="2"/>
      <c r="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</row>
    <row r="696" ht="15.75" customHeight="1">
      <c r="A696" s="2"/>
      <c r="B696" s="2"/>
      <c r="C696" s="2"/>
      <c r="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</row>
    <row r="697" ht="15.75" customHeight="1">
      <c r="A697" s="2"/>
      <c r="B697" s="2"/>
      <c r="C697" s="2"/>
      <c r="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</row>
    <row r="698" ht="15.75" customHeight="1">
      <c r="A698" s="2"/>
      <c r="B698" s="2"/>
      <c r="C698" s="2"/>
      <c r="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</row>
    <row r="699" ht="15.75" customHeight="1">
      <c r="A699" s="2"/>
      <c r="B699" s="2"/>
      <c r="C699" s="2"/>
      <c r="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</row>
    <row r="700" ht="15.75" customHeight="1">
      <c r="A700" s="2"/>
      <c r="B700" s="2"/>
      <c r="C700" s="2"/>
      <c r="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</row>
    <row r="701" ht="15.75" customHeight="1">
      <c r="A701" s="2"/>
      <c r="B701" s="2"/>
      <c r="C701" s="2"/>
      <c r="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</row>
    <row r="702" ht="15.75" customHeight="1">
      <c r="A702" s="2"/>
      <c r="B702" s="2"/>
      <c r="C702" s="2"/>
      <c r="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</row>
    <row r="703" ht="15.75" customHeight="1">
      <c r="A703" s="2"/>
      <c r="B703" s="2"/>
      <c r="C703" s="2"/>
      <c r="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</row>
    <row r="704" ht="15.75" customHeight="1">
      <c r="A704" s="2"/>
      <c r="B704" s="2"/>
      <c r="C704" s="2"/>
      <c r="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</row>
    <row r="705" ht="15.75" customHeight="1">
      <c r="A705" s="2"/>
      <c r="B705" s="2"/>
      <c r="C705" s="2"/>
      <c r="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</row>
    <row r="706" ht="15.75" customHeight="1">
      <c r="A706" s="2"/>
      <c r="B706" s="2"/>
      <c r="C706" s="2"/>
      <c r="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</row>
    <row r="707" ht="15.75" customHeight="1">
      <c r="A707" s="2"/>
      <c r="B707" s="2"/>
      <c r="C707" s="2"/>
      <c r="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</row>
    <row r="708" ht="15.75" customHeight="1">
      <c r="A708" s="2"/>
      <c r="B708" s="2"/>
      <c r="C708" s="2"/>
      <c r="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</row>
    <row r="709" ht="15.75" customHeight="1">
      <c r="A709" s="2"/>
      <c r="B709" s="2"/>
      <c r="C709" s="2"/>
      <c r="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</row>
    <row r="710" ht="15.75" customHeight="1">
      <c r="A710" s="2"/>
      <c r="B710" s="2"/>
      <c r="C710" s="2"/>
      <c r="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</row>
    <row r="711" ht="15.75" customHeight="1">
      <c r="A711" s="2"/>
      <c r="B711" s="2"/>
      <c r="C711" s="2"/>
      <c r="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</row>
    <row r="712" ht="15.75" customHeight="1">
      <c r="A712" s="2"/>
      <c r="B712" s="2"/>
      <c r="C712" s="2"/>
      <c r="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</row>
    <row r="713" ht="15.75" customHeight="1">
      <c r="A713" s="2"/>
      <c r="B713" s="2"/>
      <c r="C713" s="2"/>
      <c r="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</row>
    <row r="714" ht="15.75" customHeight="1">
      <c r="A714" s="2"/>
      <c r="B714" s="2"/>
      <c r="C714" s="2"/>
      <c r="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</row>
    <row r="715" ht="15.75" customHeight="1">
      <c r="A715" s="2"/>
      <c r="B715" s="2"/>
      <c r="C715" s="2"/>
      <c r="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</row>
    <row r="716" ht="15.75" customHeight="1">
      <c r="A716" s="2"/>
      <c r="B716" s="2"/>
      <c r="C716" s="2"/>
      <c r="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</row>
    <row r="717" ht="15.75" customHeight="1">
      <c r="A717" s="2"/>
      <c r="B717" s="2"/>
      <c r="C717" s="2"/>
      <c r="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</row>
    <row r="718" ht="15.75" customHeight="1">
      <c r="A718" s="2"/>
      <c r="B718" s="2"/>
      <c r="C718" s="2"/>
      <c r="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</row>
    <row r="719" ht="15.75" customHeight="1">
      <c r="A719" s="2"/>
      <c r="B719" s="2"/>
      <c r="C719" s="2"/>
      <c r="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</row>
    <row r="720" ht="15.75" customHeight="1">
      <c r="A720" s="2"/>
      <c r="B720" s="2"/>
      <c r="C720" s="2"/>
      <c r="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</row>
    <row r="721" ht="15.75" customHeight="1">
      <c r="A721" s="2"/>
      <c r="B721" s="2"/>
      <c r="C721" s="2"/>
      <c r="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</row>
    <row r="722" ht="15.75" customHeight="1">
      <c r="A722" s="2"/>
      <c r="B722" s="2"/>
      <c r="C722" s="2"/>
      <c r="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</row>
    <row r="723" ht="15.75" customHeight="1">
      <c r="A723" s="2"/>
      <c r="B723" s="2"/>
      <c r="C723" s="2"/>
      <c r="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</row>
    <row r="724" ht="15.75" customHeight="1">
      <c r="A724" s="2"/>
      <c r="B724" s="2"/>
      <c r="C724" s="2"/>
      <c r="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</row>
    <row r="725" ht="15.75" customHeight="1">
      <c r="A725" s="2"/>
      <c r="B725" s="2"/>
      <c r="C725" s="2"/>
      <c r="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</row>
    <row r="726" ht="15.75" customHeight="1">
      <c r="A726" s="2"/>
      <c r="B726" s="2"/>
      <c r="C726" s="2"/>
      <c r="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</row>
    <row r="727" ht="15.75" customHeight="1">
      <c r="A727" s="2"/>
      <c r="B727" s="2"/>
      <c r="C727" s="2"/>
      <c r="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</row>
    <row r="728" ht="15.75" customHeight="1">
      <c r="A728" s="2"/>
      <c r="B728" s="2"/>
      <c r="C728" s="2"/>
      <c r="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</row>
    <row r="729" ht="15.75" customHeight="1">
      <c r="A729" s="2"/>
      <c r="B729" s="2"/>
      <c r="C729" s="2"/>
      <c r="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</row>
    <row r="730" ht="15.75" customHeight="1">
      <c r="A730" s="2"/>
      <c r="B730" s="2"/>
      <c r="C730" s="2"/>
      <c r="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</row>
    <row r="731" ht="15.75" customHeight="1">
      <c r="A731" s="2"/>
      <c r="B731" s="2"/>
      <c r="C731" s="2"/>
      <c r="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</row>
    <row r="732" ht="15.75" customHeight="1">
      <c r="A732" s="2"/>
      <c r="B732" s="2"/>
      <c r="C732" s="2"/>
      <c r="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</row>
    <row r="733" ht="15.75" customHeight="1">
      <c r="A733" s="2"/>
      <c r="B733" s="2"/>
      <c r="C733" s="2"/>
      <c r="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</row>
    <row r="734" ht="15.75" customHeight="1">
      <c r="A734" s="2"/>
      <c r="B734" s="2"/>
      <c r="C734" s="2"/>
      <c r="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</row>
    <row r="735" ht="15.75" customHeight="1">
      <c r="A735" s="2"/>
      <c r="B735" s="2"/>
      <c r="C735" s="2"/>
      <c r="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</row>
    <row r="736" ht="15.75" customHeight="1">
      <c r="A736" s="2"/>
      <c r="B736" s="2"/>
      <c r="C736" s="2"/>
      <c r="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</row>
    <row r="737" ht="15.75" customHeight="1">
      <c r="A737" s="2"/>
      <c r="B737" s="2"/>
      <c r="C737" s="2"/>
      <c r="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</row>
    <row r="738" ht="15.75" customHeight="1">
      <c r="A738" s="2"/>
      <c r="B738" s="2"/>
      <c r="C738" s="2"/>
      <c r="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</row>
    <row r="739" ht="15.75" customHeight="1">
      <c r="A739" s="2"/>
      <c r="B739" s="2"/>
      <c r="C739" s="2"/>
      <c r="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</row>
    <row r="740" ht="15.75" customHeight="1">
      <c r="A740" s="2"/>
      <c r="B740" s="2"/>
      <c r="C740" s="2"/>
      <c r="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</row>
    <row r="741" ht="15.75" customHeight="1">
      <c r="A741" s="2"/>
      <c r="B741" s="2"/>
      <c r="C741" s="2"/>
      <c r="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</row>
    <row r="742" ht="15.75" customHeight="1">
      <c r="A742" s="2"/>
      <c r="B742" s="2"/>
      <c r="C742" s="2"/>
      <c r="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</row>
    <row r="743" ht="15.75" customHeight="1">
      <c r="A743" s="2"/>
      <c r="B743" s="2"/>
      <c r="C743" s="2"/>
      <c r="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</row>
    <row r="744" ht="15.75" customHeight="1">
      <c r="A744" s="2"/>
      <c r="B744" s="2"/>
      <c r="C744" s="2"/>
      <c r="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</row>
    <row r="745" ht="15.75" customHeight="1">
      <c r="A745" s="2"/>
      <c r="B745" s="2"/>
      <c r="C745" s="2"/>
      <c r="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</row>
    <row r="746" ht="15.75" customHeight="1">
      <c r="A746" s="2"/>
      <c r="B746" s="2"/>
      <c r="C746" s="2"/>
      <c r="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</row>
    <row r="747" ht="15.75" customHeight="1">
      <c r="A747" s="2"/>
      <c r="B747" s="2"/>
      <c r="C747" s="2"/>
      <c r="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</row>
    <row r="748" ht="15.75" customHeight="1">
      <c r="A748" s="2"/>
      <c r="B748" s="2"/>
      <c r="C748" s="2"/>
      <c r="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</row>
    <row r="749" ht="15.75" customHeight="1">
      <c r="A749" s="2"/>
      <c r="B749" s="2"/>
      <c r="C749" s="2"/>
      <c r="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</row>
    <row r="750" ht="15.75" customHeight="1">
      <c r="A750" s="2"/>
      <c r="B750" s="2"/>
      <c r="C750" s="2"/>
      <c r="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</row>
    <row r="751" ht="15.75" customHeight="1">
      <c r="A751" s="2"/>
      <c r="B751" s="2"/>
      <c r="C751" s="2"/>
      <c r="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</row>
    <row r="752" ht="15.75" customHeight="1">
      <c r="A752" s="2"/>
      <c r="B752" s="2"/>
      <c r="C752" s="2"/>
      <c r="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</row>
    <row r="753" ht="15.75" customHeight="1">
      <c r="A753" s="2"/>
      <c r="B753" s="2"/>
      <c r="C753" s="2"/>
      <c r="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</row>
    <row r="754" ht="15.75" customHeight="1">
      <c r="A754" s="2"/>
      <c r="B754" s="2"/>
      <c r="C754" s="2"/>
      <c r="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</row>
    <row r="755" ht="15.75" customHeight="1">
      <c r="A755" s="2"/>
      <c r="B755" s="2"/>
      <c r="C755" s="2"/>
      <c r="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</row>
    <row r="756" ht="15.75" customHeight="1">
      <c r="A756" s="2"/>
      <c r="B756" s="2"/>
      <c r="C756" s="2"/>
      <c r="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</row>
    <row r="757" ht="15.75" customHeight="1">
      <c r="A757" s="2"/>
      <c r="B757" s="2"/>
      <c r="C757" s="2"/>
      <c r="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</row>
    <row r="758" ht="15.75" customHeight="1">
      <c r="A758" s="2"/>
      <c r="B758" s="2"/>
      <c r="C758" s="2"/>
      <c r="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</row>
    <row r="759" ht="15.75" customHeight="1">
      <c r="A759" s="2"/>
      <c r="B759" s="2"/>
      <c r="C759" s="2"/>
      <c r="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</row>
    <row r="760" ht="15.75" customHeight="1">
      <c r="A760" s="2"/>
      <c r="B760" s="2"/>
      <c r="C760" s="2"/>
      <c r="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</row>
    <row r="761" ht="15.75" customHeight="1">
      <c r="A761" s="2"/>
      <c r="B761" s="2"/>
      <c r="C761" s="2"/>
      <c r="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</row>
    <row r="762" ht="15.75" customHeight="1">
      <c r="A762" s="2"/>
      <c r="B762" s="2"/>
      <c r="C762" s="2"/>
      <c r="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</row>
    <row r="763" ht="15.75" customHeight="1">
      <c r="A763" s="2"/>
      <c r="B763" s="2"/>
      <c r="C763" s="2"/>
      <c r="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</row>
    <row r="764" ht="15.75" customHeight="1">
      <c r="A764" s="2"/>
      <c r="B764" s="2"/>
      <c r="C764" s="2"/>
      <c r="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</row>
    <row r="765" ht="15.75" customHeight="1">
      <c r="A765" s="2"/>
      <c r="B765" s="2"/>
      <c r="C765" s="2"/>
      <c r="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</row>
    <row r="766" ht="15.75" customHeight="1">
      <c r="A766" s="2"/>
      <c r="B766" s="2"/>
      <c r="C766" s="2"/>
      <c r="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</row>
    <row r="767" ht="15.75" customHeight="1">
      <c r="A767" s="2"/>
      <c r="B767" s="2"/>
      <c r="C767" s="2"/>
      <c r="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</row>
    <row r="768" ht="15.75" customHeight="1">
      <c r="A768" s="2"/>
      <c r="B768" s="2"/>
      <c r="C768" s="2"/>
      <c r="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</row>
    <row r="769" ht="15.75" customHeight="1">
      <c r="A769" s="2"/>
      <c r="B769" s="2"/>
      <c r="C769" s="2"/>
      <c r="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</row>
    <row r="770" ht="15.75" customHeight="1">
      <c r="A770" s="2"/>
      <c r="B770" s="2"/>
      <c r="C770" s="2"/>
      <c r="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</row>
    <row r="771" ht="15.75" customHeight="1">
      <c r="A771" s="2"/>
      <c r="B771" s="2"/>
      <c r="C771" s="2"/>
      <c r="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</row>
    <row r="772" ht="15.75" customHeight="1">
      <c r="A772" s="2"/>
      <c r="B772" s="2"/>
      <c r="C772" s="2"/>
      <c r="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</row>
    <row r="773" ht="15.75" customHeight="1">
      <c r="A773" s="2"/>
      <c r="B773" s="2"/>
      <c r="C773" s="2"/>
      <c r="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</row>
    <row r="774" ht="15.75" customHeight="1">
      <c r="A774" s="2"/>
      <c r="B774" s="2"/>
      <c r="C774" s="2"/>
      <c r="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</row>
    <row r="775" ht="15.75" customHeight="1">
      <c r="A775" s="2"/>
      <c r="B775" s="2"/>
      <c r="C775" s="2"/>
      <c r="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</row>
    <row r="776" ht="15.75" customHeight="1">
      <c r="A776" s="2"/>
      <c r="B776" s="2"/>
      <c r="C776" s="2"/>
      <c r="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</row>
    <row r="777" ht="15.75" customHeight="1">
      <c r="A777" s="2"/>
      <c r="B777" s="2"/>
      <c r="C777" s="2"/>
      <c r="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</row>
    <row r="778" ht="15.75" customHeight="1">
      <c r="A778" s="2"/>
      <c r="B778" s="2"/>
      <c r="C778" s="2"/>
      <c r="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</row>
    <row r="779" ht="15.75" customHeight="1">
      <c r="A779" s="2"/>
      <c r="B779" s="2"/>
      <c r="C779" s="2"/>
      <c r="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</row>
    <row r="780" ht="15.75" customHeight="1">
      <c r="A780" s="2"/>
      <c r="B780" s="2"/>
      <c r="C780" s="2"/>
      <c r="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</row>
    <row r="781" ht="15.75" customHeight="1">
      <c r="A781" s="2"/>
      <c r="B781" s="2"/>
      <c r="C781" s="2"/>
      <c r="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</row>
    <row r="782" ht="15.75" customHeight="1">
      <c r="A782" s="2"/>
      <c r="B782" s="2"/>
      <c r="C782" s="2"/>
      <c r="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</row>
    <row r="783" ht="15.75" customHeight="1">
      <c r="A783" s="2"/>
      <c r="B783" s="2"/>
      <c r="C783" s="2"/>
      <c r="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</row>
    <row r="784" ht="15.75" customHeight="1">
      <c r="A784" s="2"/>
      <c r="B784" s="2"/>
      <c r="C784" s="2"/>
      <c r="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</row>
    <row r="785" ht="15.75" customHeight="1">
      <c r="A785" s="2"/>
      <c r="B785" s="2"/>
      <c r="C785" s="2"/>
      <c r="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</row>
    <row r="786" ht="15.75" customHeight="1">
      <c r="A786" s="2"/>
      <c r="B786" s="2"/>
      <c r="C786" s="2"/>
      <c r="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</row>
    <row r="787" ht="15.75" customHeight="1">
      <c r="A787" s="2"/>
      <c r="B787" s="2"/>
      <c r="C787" s="2"/>
      <c r="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</row>
    <row r="788" ht="15.75" customHeight="1">
      <c r="A788" s="2"/>
      <c r="B788" s="2"/>
      <c r="C788" s="2"/>
      <c r="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</row>
    <row r="789" ht="15.75" customHeight="1">
      <c r="A789" s="2"/>
      <c r="B789" s="2"/>
      <c r="C789" s="2"/>
      <c r="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</row>
    <row r="790" ht="15.75" customHeight="1">
      <c r="A790" s="2"/>
      <c r="B790" s="2"/>
      <c r="C790" s="2"/>
      <c r="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</row>
    <row r="791" ht="15.75" customHeight="1">
      <c r="A791" s="2"/>
      <c r="B791" s="2"/>
      <c r="C791" s="2"/>
      <c r="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</row>
    <row r="792" ht="15.75" customHeight="1">
      <c r="A792" s="2"/>
      <c r="B792" s="2"/>
      <c r="C792" s="2"/>
      <c r="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</row>
    <row r="793" ht="15.75" customHeight="1">
      <c r="A793" s="2"/>
      <c r="B793" s="2"/>
      <c r="C793" s="2"/>
      <c r="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</row>
    <row r="794" ht="15.75" customHeight="1">
      <c r="A794" s="2"/>
      <c r="B794" s="2"/>
      <c r="C794" s="2"/>
      <c r="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</row>
    <row r="795" ht="15.75" customHeight="1">
      <c r="A795" s="2"/>
      <c r="B795" s="2"/>
      <c r="C795" s="2"/>
      <c r="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</row>
    <row r="796" ht="15.75" customHeight="1">
      <c r="A796" s="2"/>
      <c r="B796" s="2"/>
      <c r="C796" s="2"/>
      <c r="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</row>
    <row r="797" ht="15.75" customHeight="1">
      <c r="A797" s="2"/>
      <c r="B797" s="2"/>
      <c r="C797" s="2"/>
      <c r="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</row>
    <row r="798" ht="15.75" customHeight="1">
      <c r="A798" s="2"/>
      <c r="B798" s="2"/>
      <c r="C798" s="2"/>
      <c r="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</row>
    <row r="799" ht="15.75" customHeight="1">
      <c r="A799" s="2"/>
      <c r="B799" s="2"/>
      <c r="C799" s="2"/>
      <c r="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</row>
    <row r="800" ht="15.75" customHeight="1">
      <c r="A800" s="2"/>
      <c r="B800" s="2"/>
      <c r="C800" s="2"/>
      <c r="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</row>
    <row r="801" ht="15.75" customHeight="1">
      <c r="A801" s="2"/>
      <c r="B801" s="2"/>
      <c r="C801" s="2"/>
      <c r="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</row>
    <row r="802" ht="15.75" customHeight="1">
      <c r="A802" s="2"/>
      <c r="B802" s="2"/>
      <c r="C802" s="2"/>
      <c r="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</row>
    <row r="803" ht="15.75" customHeight="1">
      <c r="A803" s="2"/>
      <c r="B803" s="2"/>
      <c r="C803" s="2"/>
      <c r="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</row>
    <row r="804" ht="15.75" customHeight="1">
      <c r="A804" s="2"/>
      <c r="B804" s="2"/>
      <c r="C804" s="2"/>
      <c r="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</row>
    <row r="805" ht="15.75" customHeight="1">
      <c r="A805" s="2"/>
      <c r="B805" s="2"/>
      <c r="C805" s="2"/>
      <c r="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</row>
    <row r="806" ht="15.75" customHeight="1">
      <c r="A806" s="2"/>
      <c r="B806" s="2"/>
      <c r="C806" s="2"/>
      <c r="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</row>
    <row r="807" ht="15.75" customHeight="1">
      <c r="A807" s="2"/>
      <c r="B807" s="2"/>
      <c r="C807" s="2"/>
      <c r="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</row>
    <row r="808" ht="15.75" customHeight="1">
      <c r="A808" s="2"/>
      <c r="B808" s="2"/>
      <c r="C808" s="2"/>
      <c r="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</row>
    <row r="809" ht="15.75" customHeight="1">
      <c r="A809" s="2"/>
      <c r="B809" s="2"/>
      <c r="C809" s="2"/>
      <c r="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</row>
    <row r="810" ht="15.75" customHeight="1">
      <c r="A810" s="2"/>
      <c r="B810" s="2"/>
      <c r="C810" s="2"/>
      <c r="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</row>
    <row r="811" ht="15.75" customHeight="1">
      <c r="A811" s="2"/>
      <c r="B811" s="2"/>
      <c r="C811" s="2"/>
      <c r="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</row>
    <row r="812" ht="15.75" customHeight="1">
      <c r="A812" s="2"/>
      <c r="B812" s="2"/>
      <c r="C812" s="2"/>
      <c r="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</row>
    <row r="813" ht="15.75" customHeight="1">
      <c r="A813" s="2"/>
      <c r="B813" s="2"/>
      <c r="C813" s="2"/>
      <c r="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</row>
    <row r="814" ht="15.75" customHeight="1">
      <c r="A814" s="2"/>
      <c r="B814" s="2"/>
      <c r="C814" s="2"/>
      <c r="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</row>
    <row r="815" ht="15.75" customHeight="1">
      <c r="A815" s="2"/>
      <c r="B815" s="2"/>
      <c r="C815" s="2"/>
      <c r="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</row>
    <row r="816" ht="15.75" customHeight="1">
      <c r="A816" s="2"/>
      <c r="B816" s="2"/>
      <c r="C816" s="2"/>
      <c r="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</row>
    <row r="817" ht="15.75" customHeight="1">
      <c r="A817" s="2"/>
      <c r="B817" s="2"/>
      <c r="C817" s="2"/>
      <c r="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</row>
    <row r="818" ht="15.75" customHeight="1">
      <c r="A818" s="2"/>
      <c r="B818" s="2"/>
      <c r="C818" s="2"/>
      <c r="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</row>
    <row r="819" ht="15.75" customHeight="1">
      <c r="A819" s="2"/>
      <c r="B819" s="2"/>
      <c r="C819" s="2"/>
      <c r="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</row>
    <row r="820" ht="15.75" customHeight="1">
      <c r="A820" s="2"/>
      <c r="B820" s="2"/>
      <c r="C820" s="2"/>
      <c r="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</row>
    <row r="821" ht="15.75" customHeight="1">
      <c r="A821" s="2"/>
      <c r="B821" s="2"/>
      <c r="C821" s="2"/>
      <c r="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</row>
    <row r="822" ht="15.75" customHeight="1">
      <c r="A822" s="2"/>
      <c r="B822" s="2"/>
      <c r="C822" s="2"/>
      <c r="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</row>
    <row r="823" ht="15.75" customHeight="1">
      <c r="A823" s="2"/>
      <c r="B823" s="2"/>
      <c r="C823" s="2"/>
      <c r="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</row>
    <row r="824" ht="15.75" customHeight="1">
      <c r="A824" s="2"/>
      <c r="B824" s="2"/>
      <c r="C824" s="2"/>
      <c r="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</row>
    <row r="825" ht="15.75" customHeight="1">
      <c r="A825" s="2"/>
      <c r="B825" s="2"/>
      <c r="C825" s="2"/>
      <c r="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</row>
    <row r="826" ht="15.75" customHeight="1">
      <c r="A826" s="2"/>
      <c r="B826" s="2"/>
      <c r="C826" s="2"/>
      <c r="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</row>
    <row r="827" ht="15.75" customHeight="1">
      <c r="A827" s="2"/>
      <c r="B827" s="2"/>
      <c r="C827" s="2"/>
      <c r="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</row>
    <row r="828" ht="15.75" customHeight="1">
      <c r="A828" s="2"/>
      <c r="B828" s="2"/>
      <c r="C828" s="2"/>
      <c r="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</row>
    <row r="829" ht="15.75" customHeight="1">
      <c r="A829" s="2"/>
      <c r="B829" s="2"/>
      <c r="C829" s="2"/>
      <c r="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</row>
    <row r="830" ht="15.75" customHeight="1">
      <c r="A830" s="2"/>
      <c r="B830" s="2"/>
      <c r="C830" s="2"/>
      <c r="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</row>
    <row r="831" ht="15.75" customHeight="1">
      <c r="A831" s="2"/>
      <c r="B831" s="2"/>
      <c r="C831" s="2"/>
      <c r="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</row>
    <row r="832" ht="15.75" customHeight="1">
      <c r="A832" s="2"/>
      <c r="B832" s="2"/>
      <c r="C832" s="2"/>
      <c r="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</row>
    <row r="833" ht="15.75" customHeight="1">
      <c r="A833" s="2"/>
      <c r="B833" s="2"/>
      <c r="C833" s="2"/>
      <c r="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</row>
    <row r="834" ht="15.75" customHeight="1">
      <c r="A834" s="2"/>
      <c r="B834" s="2"/>
      <c r="C834" s="2"/>
      <c r="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</row>
    <row r="835" ht="15.75" customHeight="1">
      <c r="A835" s="2"/>
      <c r="B835" s="2"/>
      <c r="C835" s="2"/>
      <c r="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</row>
    <row r="836" ht="15.75" customHeight="1">
      <c r="A836" s="2"/>
      <c r="B836" s="2"/>
      <c r="C836" s="2"/>
      <c r="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</row>
    <row r="837" ht="15.75" customHeight="1">
      <c r="A837" s="2"/>
      <c r="B837" s="2"/>
      <c r="C837" s="2"/>
      <c r="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</row>
    <row r="838" ht="15.75" customHeight="1">
      <c r="A838" s="2"/>
      <c r="B838" s="2"/>
      <c r="C838" s="2"/>
      <c r="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</row>
    <row r="839" ht="15.75" customHeight="1">
      <c r="A839" s="2"/>
      <c r="B839" s="2"/>
      <c r="C839" s="2"/>
      <c r="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</row>
    <row r="840" ht="15.75" customHeight="1">
      <c r="A840" s="2"/>
      <c r="B840" s="2"/>
      <c r="C840" s="2"/>
      <c r="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</row>
    <row r="841" ht="15.75" customHeight="1">
      <c r="A841" s="2"/>
      <c r="B841" s="2"/>
      <c r="C841" s="2"/>
      <c r="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</row>
    <row r="842" ht="15.75" customHeight="1">
      <c r="A842" s="2"/>
      <c r="B842" s="2"/>
      <c r="C842" s="2"/>
      <c r="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</row>
    <row r="843" ht="15.75" customHeight="1">
      <c r="A843" s="2"/>
      <c r="B843" s="2"/>
      <c r="C843" s="2"/>
      <c r="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</row>
    <row r="844" ht="15.75" customHeight="1">
      <c r="A844" s="2"/>
      <c r="B844" s="2"/>
      <c r="C844" s="2"/>
      <c r="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</row>
    <row r="845" ht="15.75" customHeight="1">
      <c r="A845" s="2"/>
      <c r="B845" s="2"/>
      <c r="C845" s="2"/>
      <c r="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</row>
    <row r="846" ht="15.75" customHeight="1">
      <c r="A846" s="2"/>
      <c r="B846" s="2"/>
      <c r="C846" s="2"/>
      <c r="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</row>
    <row r="847" ht="15.75" customHeight="1">
      <c r="A847" s="2"/>
      <c r="B847" s="2"/>
      <c r="C847" s="2"/>
      <c r="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</row>
    <row r="848" ht="15.75" customHeight="1">
      <c r="A848" s="2"/>
      <c r="B848" s="2"/>
      <c r="C848" s="2"/>
      <c r="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</row>
    <row r="849" ht="15.75" customHeight="1">
      <c r="A849" s="2"/>
      <c r="B849" s="2"/>
      <c r="C849" s="2"/>
      <c r="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</row>
    <row r="850" ht="15.75" customHeight="1">
      <c r="A850" s="2"/>
      <c r="B850" s="2"/>
      <c r="C850" s="2"/>
      <c r="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</row>
    <row r="851" ht="15.75" customHeight="1">
      <c r="A851" s="2"/>
      <c r="B851" s="2"/>
      <c r="C851" s="2"/>
      <c r="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</row>
    <row r="852" ht="15.75" customHeight="1">
      <c r="A852" s="2"/>
      <c r="B852" s="2"/>
      <c r="C852" s="2"/>
      <c r="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</row>
    <row r="853" ht="15.75" customHeight="1">
      <c r="A853" s="2"/>
      <c r="B853" s="2"/>
      <c r="C853" s="2"/>
      <c r="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</row>
    <row r="854" ht="15.75" customHeight="1">
      <c r="A854" s="2"/>
      <c r="B854" s="2"/>
      <c r="C854" s="2"/>
      <c r="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</row>
    <row r="855" ht="15.75" customHeight="1">
      <c r="A855" s="2"/>
      <c r="B855" s="2"/>
      <c r="C855" s="2"/>
      <c r="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</row>
    <row r="856" ht="15.75" customHeight="1">
      <c r="A856" s="2"/>
      <c r="B856" s="2"/>
      <c r="C856" s="2"/>
      <c r="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</row>
    <row r="857" ht="15.75" customHeight="1">
      <c r="A857" s="2"/>
      <c r="B857" s="2"/>
      <c r="C857" s="2"/>
      <c r="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</row>
    <row r="858" ht="15.75" customHeight="1">
      <c r="A858" s="2"/>
      <c r="B858" s="2"/>
      <c r="C858" s="2"/>
      <c r="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</row>
    <row r="859" ht="15.75" customHeight="1">
      <c r="A859" s="2"/>
      <c r="B859" s="2"/>
      <c r="C859" s="2"/>
      <c r="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</row>
    <row r="860" ht="15.75" customHeight="1">
      <c r="A860" s="2"/>
      <c r="B860" s="2"/>
      <c r="C860" s="2"/>
      <c r="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</row>
    <row r="861" ht="15.75" customHeight="1">
      <c r="A861" s="2"/>
      <c r="B861" s="2"/>
      <c r="C861" s="2"/>
      <c r="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</row>
    <row r="862" ht="15.75" customHeight="1">
      <c r="A862" s="2"/>
      <c r="B862" s="2"/>
      <c r="C862" s="2"/>
      <c r="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</row>
    <row r="863" ht="15.75" customHeight="1">
      <c r="A863" s="2"/>
      <c r="B863" s="2"/>
      <c r="C863" s="2"/>
      <c r="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</row>
    <row r="864" ht="15.75" customHeight="1">
      <c r="A864" s="2"/>
      <c r="B864" s="2"/>
      <c r="C864" s="2"/>
      <c r="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</row>
    <row r="865" ht="15.75" customHeight="1">
      <c r="A865" s="2"/>
      <c r="B865" s="2"/>
      <c r="C865" s="2"/>
      <c r="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</row>
    <row r="866" ht="15.75" customHeight="1">
      <c r="A866" s="2"/>
      <c r="B866" s="2"/>
      <c r="C866" s="2"/>
      <c r="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</row>
    <row r="867" ht="15.75" customHeight="1">
      <c r="A867" s="2"/>
      <c r="B867" s="2"/>
      <c r="C867" s="2"/>
      <c r="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</row>
    <row r="868" ht="15.75" customHeight="1">
      <c r="A868" s="2"/>
      <c r="B868" s="2"/>
      <c r="C868" s="2"/>
      <c r="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</row>
    <row r="869" ht="15.75" customHeight="1">
      <c r="A869" s="2"/>
      <c r="B869" s="2"/>
      <c r="C869" s="2"/>
      <c r="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</row>
    <row r="870" ht="15.75" customHeight="1">
      <c r="A870" s="2"/>
      <c r="B870" s="2"/>
      <c r="C870" s="2"/>
      <c r="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</row>
    <row r="871" ht="15.75" customHeight="1">
      <c r="A871" s="2"/>
      <c r="B871" s="2"/>
      <c r="C871" s="2"/>
      <c r="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</row>
    <row r="872" ht="15.75" customHeight="1">
      <c r="A872" s="2"/>
      <c r="B872" s="2"/>
      <c r="C872" s="2"/>
      <c r="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</row>
    <row r="873" ht="15.75" customHeight="1">
      <c r="A873" s="2"/>
      <c r="B873" s="2"/>
      <c r="C873" s="2"/>
      <c r="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</row>
    <row r="874" ht="15.75" customHeight="1">
      <c r="A874" s="2"/>
      <c r="B874" s="2"/>
      <c r="C874" s="2"/>
      <c r="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</row>
    <row r="875" ht="15.75" customHeight="1">
      <c r="A875" s="2"/>
      <c r="B875" s="2"/>
      <c r="C875" s="2"/>
      <c r="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</row>
    <row r="876" ht="15.75" customHeight="1">
      <c r="A876" s="2"/>
      <c r="B876" s="2"/>
      <c r="C876" s="2"/>
      <c r="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</row>
    <row r="877" ht="15.75" customHeight="1">
      <c r="A877" s="2"/>
      <c r="B877" s="2"/>
      <c r="C877" s="2"/>
      <c r="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</row>
    <row r="878" ht="15.75" customHeight="1">
      <c r="A878" s="2"/>
      <c r="B878" s="2"/>
      <c r="C878" s="2"/>
      <c r="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</row>
    <row r="879" ht="15.75" customHeight="1">
      <c r="A879" s="2"/>
      <c r="B879" s="2"/>
      <c r="C879" s="2"/>
      <c r="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</row>
    <row r="880" ht="15.75" customHeight="1">
      <c r="A880" s="2"/>
      <c r="B880" s="2"/>
      <c r="C880" s="2"/>
      <c r="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</row>
    <row r="881" ht="15.75" customHeight="1">
      <c r="A881" s="2"/>
      <c r="B881" s="2"/>
      <c r="C881" s="2"/>
      <c r="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</row>
    <row r="882" ht="15.75" customHeight="1">
      <c r="A882" s="2"/>
      <c r="B882" s="2"/>
      <c r="C882" s="2"/>
      <c r="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</row>
    <row r="883" ht="15.75" customHeight="1">
      <c r="A883" s="2"/>
      <c r="B883" s="2"/>
      <c r="C883" s="2"/>
      <c r="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</row>
    <row r="884" ht="15.75" customHeight="1">
      <c r="A884" s="2"/>
      <c r="B884" s="2"/>
      <c r="C884" s="2"/>
      <c r="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</row>
    <row r="885" ht="15.75" customHeight="1">
      <c r="A885" s="2"/>
      <c r="B885" s="2"/>
      <c r="C885" s="2"/>
      <c r="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</row>
    <row r="886" ht="15.75" customHeight="1">
      <c r="A886" s="2"/>
      <c r="B886" s="2"/>
      <c r="C886" s="2"/>
      <c r="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</row>
    <row r="887" ht="15.75" customHeight="1">
      <c r="A887" s="2"/>
      <c r="B887" s="2"/>
      <c r="C887" s="2"/>
      <c r="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</row>
    <row r="888" ht="15.75" customHeight="1">
      <c r="A888" s="2"/>
      <c r="B888" s="2"/>
      <c r="C888" s="2"/>
      <c r="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</row>
    <row r="889" ht="15.75" customHeight="1">
      <c r="A889" s="2"/>
      <c r="B889" s="2"/>
      <c r="C889" s="2"/>
      <c r="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</row>
    <row r="890" ht="15.75" customHeight="1">
      <c r="A890" s="2"/>
      <c r="B890" s="2"/>
      <c r="C890" s="2"/>
      <c r="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</row>
    <row r="891" ht="15.75" customHeight="1">
      <c r="A891" s="2"/>
      <c r="B891" s="2"/>
      <c r="C891" s="2"/>
      <c r="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</row>
    <row r="892" ht="15.75" customHeight="1">
      <c r="A892" s="2"/>
      <c r="B892" s="2"/>
      <c r="C892" s="2"/>
      <c r="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</row>
    <row r="893" ht="15.75" customHeight="1">
      <c r="A893" s="2"/>
      <c r="B893" s="2"/>
      <c r="C893" s="2"/>
      <c r="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</row>
    <row r="894" ht="15.75" customHeight="1">
      <c r="A894" s="2"/>
      <c r="B894" s="2"/>
      <c r="C894" s="2"/>
      <c r="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</row>
    <row r="895" ht="15.75" customHeight="1">
      <c r="A895" s="2"/>
      <c r="B895" s="2"/>
      <c r="C895" s="2"/>
      <c r="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</row>
    <row r="896" ht="15.75" customHeight="1">
      <c r="A896" s="2"/>
      <c r="B896" s="2"/>
      <c r="C896" s="2"/>
      <c r="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</row>
    <row r="897" ht="15.75" customHeight="1">
      <c r="A897" s="2"/>
      <c r="B897" s="2"/>
      <c r="C897" s="2"/>
      <c r="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</row>
    <row r="898" ht="15.75" customHeight="1">
      <c r="A898" s="2"/>
      <c r="B898" s="2"/>
      <c r="C898" s="2"/>
      <c r="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</row>
    <row r="899" ht="15.75" customHeight="1">
      <c r="A899" s="2"/>
      <c r="B899" s="2"/>
      <c r="C899" s="2"/>
      <c r="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</row>
    <row r="900" ht="15.75" customHeight="1">
      <c r="A900" s="2"/>
      <c r="B900" s="2"/>
      <c r="C900" s="2"/>
      <c r="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</row>
    <row r="901" ht="15.75" customHeight="1">
      <c r="A901" s="2"/>
      <c r="B901" s="2"/>
      <c r="C901" s="2"/>
      <c r="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</row>
    <row r="902" ht="15.75" customHeight="1">
      <c r="A902" s="2"/>
      <c r="B902" s="2"/>
      <c r="C902" s="2"/>
      <c r="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</row>
    <row r="903" ht="15.75" customHeight="1">
      <c r="A903" s="2"/>
      <c r="B903" s="2"/>
      <c r="C903" s="2"/>
      <c r="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</row>
    <row r="904" ht="15.75" customHeight="1">
      <c r="A904" s="2"/>
      <c r="B904" s="2"/>
      <c r="C904" s="2"/>
      <c r="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</row>
    <row r="905" ht="15.75" customHeight="1">
      <c r="A905" s="2"/>
      <c r="B905" s="2"/>
      <c r="C905" s="2"/>
      <c r="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</row>
    <row r="906" ht="15.75" customHeight="1">
      <c r="A906" s="2"/>
      <c r="B906" s="2"/>
      <c r="C906" s="2"/>
      <c r="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</row>
    <row r="907" ht="15.75" customHeight="1">
      <c r="A907" s="2"/>
      <c r="B907" s="2"/>
      <c r="C907" s="2"/>
      <c r="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</row>
    <row r="908" ht="15.75" customHeight="1">
      <c r="A908" s="2"/>
      <c r="B908" s="2"/>
      <c r="C908" s="2"/>
      <c r="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</row>
    <row r="909" ht="15.75" customHeight="1">
      <c r="A909" s="2"/>
      <c r="B909" s="2"/>
      <c r="C909" s="2"/>
      <c r="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</row>
    <row r="910" ht="15.75" customHeight="1">
      <c r="A910" s="2"/>
      <c r="B910" s="2"/>
      <c r="C910" s="2"/>
      <c r="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</row>
    <row r="911" ht="15.75" customHeight="1">
      <c r="A911" s="2"/>
      <c r="B911" s="2"/>
      <c r="C911" s="2"/>
      <c r="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</row>
    <row r="912" ht="15.75" customHeight="1">
      <c r="A912" s="2"/>
      <c r="B912" s="2"/>
      <c r="C912" s="2"/>
      <c r="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</row>
    <row r="913" ht="15.75" customHeight="1">
      <c r="A913" s="2"/>
      <c r="B913" s="2"/>
      <c r="C913" s="2"/>
      <c r="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</row>
    <row r="914" ht="15.75" customHeight="1">
      <c r="A914" s="2"/>
      <c r="B914" s="2"/>
      <c r="C914" s="2"/>
      <c r="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</row>
    <row r="915" ht="15.75" customHeight="1">
      <c r="A915" s="2"/>
      <c r="B915" s="2"/>
      <c r="C915" s="2"/>
      <c r="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</row>
    <row r="916" ht="15.75" customHeight="1">
      <c r="A916" s="2"/>
      <c r="B916" s="2"/>
      <c r="C916" s="2"/>
      <c r="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</row>
    <row r="917" ht="15.75" customHeight="1">
      <c r="A917" s="2"/>
      <c r="B917" s="2"/>
      <c r="C917" s="2"/>
      <c r="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</row>
    <row r="918" ht="15.75" customHeight="1">
      <c r="A918" s="2"/>
      <c r="B918" s="2"/>
      <c r="C918" s="2"/>
      <c r="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</row>
    <row r="919" ht="15.75" customHeight="1">
      <c r="A919" s="2"/>
      <c r="B919" s="2"/>
      <c r="C919" s="2"/>
      <c r="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</row>
    <row r="920" ht="15.75" customHeight="1">
      <c r="A920" s="2"/>
      <c r="B920" s="2"/>
      <c r="C920" s="2"/>
      <c r="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</row>
    <row r="921" ht="15.75" customHeight="1">
      <c r="A921" s="2"/>
      <c r="B921" s="2"/>
      <c r="C921" s="2"/>
      <c r="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</row>
    <row r="922" ht="15.75" customHeight="1">
      <c r="A922" s="2"/>
      <c r="B922" s="2"/>
      <c r="C922" s="2"/>
      <c r="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</row>
    <row r="923" ht="15.75" customHeight="1">
      <c r="A923" s="2"/>
      <c r="B923" s="2"/>
      <c r="C923" s="2"/>
      <c r="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</row>
    <row r="924" ht="15.75" customHeight="1">
      <c r="A924" s="2"/>
      <c r="B924" s="2"/>
      <c r="C924" s="2"/>
      <c r="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</row>
    <row r="925" ht="15.75" customHeight="1">
      <c r="A925" s="2"/>
      <c r="B925" s="2"/>
      <c r="C925" s="2"/>
      <c r="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</row>
    <row r="926" ht="15.75" customHeight="1">
      <c r="A926" s="2"/>
      <c r="B926" s="2"/>
      <c r="C926" s="2"/>
      <c r="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</row>
    <row r="927" ht="15.75" customHeight="1">
      <c r="A927" s="2"/>
      <c r="B927" s="2"/>
      <c r="C927" s="2"/>
      <c r="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</row>
    <row r="928" ht="15.75" customHeight="1">
      <c r="A928" s="2"/>
      <c r="B928" s="2"/>
      <c r="C928" s="2"/>
      <c r="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</row>
    <row r="929" ht="15.75" customHeight="1">
      <c r="A929" s="2"/>
      <c r="B929" s="2"/>
      <c r="C929" s="2"/>
      <c r="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</row>
    <row r="930" ht="15.75" customHeight="1">
      <c r="A930" s="2"/>
      <c r="B930" s="2"/>
      <c r="C930" s="2"/>
      <c r="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</row>
    <row r="931" ht="15.75" customHeight="1">
      <c r="A931" s="2"/>
      <c r="B931" s="2"/>
      <c r="C931" s="2"/>
      <c r="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</row>
    <row r="932" ht="15.75" customHeight="1">
      <c r="A932" s="2"/>
      <c r="B932" s="2"/>
      <c r="C932" s="2"/>
      <c r="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</row>
    <row r="933" ht="15.75" customHeight="1">
      <c r="A933" s="2"/>
      <c r="B933" s="2"/>
      <c r="C933" s="2"/>
      <c r="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</row>
    <row r="934" ht="15.75" customHeight="1">
      <c r="A934" s="2"/>
      <c r="B934" s="2"/>
      <c r="C934" s="2"/>
      <c r="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</row>
    <row r="935" ht="15.75" customHeight="1">
      <c r="A935" s="2"/>
      <c r="B935" s="2"/>
      <c r="C935" s="2"/>
      <c r="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</row>
    <row r="936" ht="15.75" customHeight="1">
      <c r="A936" s="2"/>
      <c r="B936" s="2"/>
      <c r="C936" s="2"/>
      <c r="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</row>
    <row r="937" ht="15.75" customHeight="1">
      <c r="A937" s="2"/>
      <c r="B937" s="2"/>
      <c r="C937" s="2"/>
      <c r="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</row>
    <row r="938" ht="15.75" customHeight="1">
      <c r="A938" s="2"/>
      <c r="B938" s="2"/>
      <c r="C938" s="2"/>
      <c r="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</row>
    <row r="939" ht="15.75" customHeight="1">
      <c r="A939" s="2"/>
      <c r="B939" s="2"/>
      <c r="C939" s="2"/>
      <c r="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</row>
    <row r="940" ht="15.75" customHeight="1">
      <c r="A940" s="2"/>
      <c r="B940" s="2"/>
      <c r="C940" s="2"/>
      <c r="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</row>
    <row r="941" ht="15.75" customHeight="1">
      <c r="A941" s="2"/>
      <c r="B941" s="2"/>
      <c r="C941" s="2"/>
      <c r="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</row>
    <row r="942" ht="15.75" customHeight="1">
      <c r="A942" s="2"/>
      <c r="B942" s="2"/>
      <c r="C942" s="2"/>
      <c r="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</row>
    <row r="943" ht="15.75" customHeight="1">
      <c r="A943" s="2"/>
      <c r="B943" s="2"/>
      <c r="C943" s="2"/>
      <c r="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</row>
    <row r="944" ht="15.75" customHeight="1">
      <c r="A944" s="2"/>
      <c r="B944" s="2"/>
      <c r="C944" s="2"/>
      <c r="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</row>
    <row r="945" ht="15.75" customHeight="1">
      <c r="A945" s="2"/>
      <c r="B945" s="2"/>
      <c r="C945" s="2"/>
      <c r="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</row>
    <row r="946" ht="15.75" customHeight="1">
      <c r="A946" s="2"/>
      <c r="B946" s="2"/>
      <c r="C946" s="2"/>
      <c r="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</row>
    <row r="947" ht="15.75" customHeight="1">
      <c r="A947" s="2"/>
      <c r="B947" s="2"/>
      <c r="C947" s="2"/>
      <c r="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</row>
    <row r="948" ht="15.75" customHeight="1">
      <c r="A948" s="2"/>
      <c r="B948" s="2"/>
      <c r="C948" s="2"/>
      <c r="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</row>
    <row r="949" ht="15.75" customHeight="1">
      <c r="A949" s="2"/>
      <c r="B949" s="2"/>
      <c r="C949" s="2"/>
      <c r="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</row>
    <row r="950" ht="15.75" customHeight="1">
      <c r="A950" s="2"/>
      <c r="B950" s="2"/>
      <c r="C950" s="2"/>
      <c r="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</row>
    <row r="951" ht="15.75" customHeight="1">
      <c r="A951" s="2"/>
      <c r="B951" s="2"/>
      <c r="C951" s="2"/>
      <c r="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</row>
    <row r="952" ht="15.75" customHeight="1">
      <c r="A952" s="2"/>
      <c r="B952" s="2"/>
      <c r="C952" s="2"/>
      <c r="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</row>
    <row r="953" ht="15.75" customHeight="1">
      <c r="A953" s="2"/>
      <c r="B953" s="2"/>
      <c r="C953" s="2"/>
      <c r="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</row>
    <row r="954" ht="15.75" customHeight="1">
      <c r="A954" s="2"/>
      <c r="B954" s="2"/>
      <c r="C954" s="2"/>
      <c r="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</row>
    <row r="955" ht="15.75" customHeight="1">
      <c r="A955" s="2"/>
      <c r="B955" s="2"/>
      <c r="C955" s="2"/>
      <c r="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</row>
    <row r="956" ht="15.75" customHeight="1">
      <c r="A956" s="2"/>
      <c r="B956" s="2"/>
      <c r="C956" s="2"/>
      <c r="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</row>
    <row r="957" ht="15.75" customHeight="1">
      <c r="A957" s="2"/>
      <c r="B957" s="2"/>
      <c r="C957" s="2"/>
      <c r="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</row>
    <row r="958" ht="15.75" customHeight="1">
      <c r="A958" s="2"/>
      <c r="B958" s="2"/>
      <c r="C958" s="2"/>
      <c r="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</row>
    <row r="959" ht="15.75" customHeight="1">
      <c r="A959" s="2"/>
      <c r="B959" s="2"/>
      <c r="C959" s="2"/>
      <c r="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</row>
    <row r="960" ht="15.75" customHeight="1">
      <c r="A960" s="2"/>
      <c r="B960" s="2"/>
      <c r="C960" s="2"/>
      <c r="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</row>
    <row r="961" ht="15.75" customHeight="1">
      <c r="A961" s="2"/>
      <c r="B961" s="2"/>
      <c r="C961" s="2"/>
      <c r="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</row>
    <row r="962" ht="15.75" customHeight="1">
      <c r="A962" s="2"/>
      <c r="B962" s="2"/>
      <c r="C962" s="2"/>
      <c r="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</row>
    <row r="963" ht="15.75" customHeight="1">
      <c r="A963" s="2"/>
      <c r="B963" s="2"/>
      <c r="C963" s="2"/>
      <c r="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</row>
    <row r="964" ht="15.75" customHeight="1">
      <c r="A964" s="2"/>
      <c r="B964" s="2"/>
      <c r="C964" s="2"/>
      <c r="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</row>
    <row r="965" ht="15.75" customHeight="1">
      <c r="A965" s="2"/>
      <c r="B965" s="2"/>
      <c r="C965" s="2"/>
      <c r="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</row>
    <row r="966" ht="15.75" customHeight="1">
      <c r="A966" s="2"/>
      <c r="B966" s="2"/>
      <c r="C966" s="2"/>
      <c r="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</row>
    <row r="967" ht="15.75" customHeight="1">
      <c r="A967" s="2"/>
      <c r="B967" s="2"/>
      <c r="C967" s="2"/>
      <c r="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</row>
    <row r="968" ht="15.75" customHeight="1">
      <c r="A968" s="2"/>
      <c r="B968" s="2"/>
      <c r="C968" s="2"/>
      <c r="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</row>
    <row r="969" ht="15.75" customHeight="1">
      <c r="A969" s="2"/>
      <c r="B969" s="2"/>
      <c r="C969" s="2"/>
      <c r="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</row>
    <row r="970" ht="15.75" customHeight="1">
      <c r="A970" s="2"/>
      <c r="B970" s="2"/>
      <c r="C970" s="2"/>
      <c r="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</row>
    <row r="971" ht="15.75" customHeight="1">
      <c r="A971" s="2"/>
      <c r="B971" s="2"/>
      <c r="C971" s="2"/>
      <c r="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</row>
    <row r="972" ht="15.75" customHeight="1">
      <c r="A972" s="2"/>
      <c r="B972" s="2"/>
      <c r="C972" s="2"/>
      <c r="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</row>
    <row r="973" ht="15.75" customHeight="1">
      <c r="A973" s="2"/>
      <c r="B973" s="2"/>
      <c r="C973" s="2"/>
      <c r="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</row>
    <row r="974" ht="15.75" customHeight="1">
      <c r="A974" s="2"/>
      <c r="B974" s="2"/>
      <c r="C974" s="2"/>
      <c r="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</row>
    <row r="975" ht="15.75" customHeight="1">
      <c r="A975" s="2"/>
      <c r="B975" s="2"/>
      <c r="C975" s="2"/>
      <c r="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</row>
    <row r="976" ht="15.75" customHeight="1">
      <c r="A976" s="2"/>
      <c r="B976" s="2"/>
      <c r="C976" s="2"/>
      <c r="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</row>
    <row r="977" ht="15.75" customHeight="1">
      <c r="A977" s="2"/>
      <c r="B977" s="2"/>
      <c r="C977" s="2"/>
      <c r="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</row>
    <row r="978" ht="15.75" customHeight="1">
      <c r="A978" s="2"/>
      <c r="B978" s="2"/>
      <c r="C978" s="2"/>
      <c r="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</row>
    <row r="979" ht="15.75" customHeight="1">
      <c r="A979" s="2"/>
      <c r="B979" s="2"/>
      <c r="C979" s="2"/>
      <c r="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</row>
    <row r="980" ht="15.75" customHeight="1">
      <c r="A980" s="2"/>
      <c r="B980" s="2"/>
      <c r="C980" s="2"/>
      <c r="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</row>
    <row r="981" ht="15.75" customHeight="1">
      <c r="A981" s="2"/>
      <c r="B981" s="2"/>
      <c r="C981" s="2"/>
      <c r="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</row>
    <row r="982" ht="15.75" customHeight="1">
      <c r="A982" s="2"/>
      <c r="B982" s="2"/>
      <c r="C982" s="2"/>
      <c r="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</row>
    <row r="983" ht="15.75" customHeight="1">
      <c r="A983" s="2"/>
      <c r="B983" s="2"/>
      <c r="C983" s="2"/>
      <c r="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</row>
    <row r="984" ht="15.75" customHeight="1">
      <c r="A984" s="2"/>
      <c r="B984" s="2"/>
      <c r="C984" s="2"/>
      <c r="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</row>
    <row r="985" ht="15.75" customHeight="1">
      <c r="A985" s="2"/>
      <c r="B985" s="2"/>
      <c r="C985" s="2"/>
      <c r="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</row>
    <row r="986" ht="15.75" customHeight="1">
      <c r="A986" s="2"/>
      <c r="B986" s="2"/>
      <c r="C986" s="2"/>
      <c r="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</row>
    <row r="987" ht="15.75" customHeight="1">
      <c r="A987" s="2"/>
      <c r="B987" s="2"/>
      <c r="C987" s="2"/>
      <c r="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</row>
    <row r="988" ht="15.75" customHeight="1">
      <c r="A988" s="2"/>
      <c r="B988" s="2"/>
      <c r="C988" s="2"/>
      <c r="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</row>
    <row r="989" ht="15.75" customHeight="1">
      <c r="A989" s="2"/>
      <c r="B989" s="2"/>
      <c r="C989" s="2"/>
      <c r="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</row>
    <row r="990" ht="15.75" customHeight="1">
      <c r="A990" s="2"/>
      <c r="B990" s="2"/>
      <c r="C990" s="2"/>
      <c r="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</row>
    <row r="991" ht="15.75" customHeight="1">
      <c r="A991" s="2"/>
      <c r="B991" s="2"/>
      <c r="C991" s="2"/>
      <c r="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</row>
    <row r="992" ht="15.75" customHeight="1">
      <c r="A992" s="2"/>
      <c r="B992" s="2"/>
      <c r="C992" s="2"/>
      <c r="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</row>
    <row r="993" ht="15.75" customHeight="1">
      <c r="A993" s="2"/>
      <c r="B993" s="2"/>
      <c r="C993" s="2"/>
      <c r="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</row>
    <row r="994" ht="15.75" customHeight="1">
      <c r="A994" s="2"/>
      <c r="B994" s="2"/>
      <c r="C994" s="2"/>
      <c r="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</row>
    <row r="995" ht="15.75" customHeight="1">
      <c r="A995" s="2"/>
      <c r="B995" s="2"/>
      <c r="C995" s="2"/>
      <c r="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</row>
    <row r="996" ht="15.75" customHeight="1">
      <c r="A996" s="2"/>
      <c r="B996" s="2"/>
      <c r="C996" s="2"/>
      <c r="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</row>
    <row r="997" ht="15.75" customHeight="1">
      <c r="A997" s="2"/>
      <c r="B997" s="2"/>
      <c r="C997" s="2"/>
      <c r="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</row>
    <row r="998" ht="15.75" customHeight="1">
      <c r="A998" s="2"/>
      <c r="B998" s="2"/>
      <c r="C998" s="2"/>
      <c r="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</row>
    <row r="999" ht="15.75" customHeight="1">
      <c r="A999" s="2"/>
      <c r="B999" s="2"/>
      <c r="C999" s="2"/>
      <c r="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</row>
    <row r="1000" ht="15.75" customHeight="1">
      <c r="A1000" s="2"/>
      <c r="B1000" s="2"/>
      <c r="C1000" s="2"/>
      <c r="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</row>
  </sheetData>
  <autoFilter ref="$A$1:$DA$80"/>
  <conditionalFormatting sqref="BU2:BU80">
    <cfRule type="expression" dxfId="5" priority="1">
      <formula>BU2="Y"</formula>
    </cfRule>
  </conditionalFormatting>
  <conditionalFormatting sqref="BU2:BU80">
    <cfRule type="expression" dxfId="6" priority="2">
      <formula>BU2="N"</formula>
    </cfRule>
  </conditionalFormatting>
  <conditionalFormatting sqref="BU2:BU80">
    <cfRule type="expression" dxfId="5" priority="3">
      <formula>BU2="Y"</formula>
    </cfRule>
  </conditionalFormatting>
  <conditionalFormatting sqref="BU2:BU80">
    <cfRule type="expression" dxfId="6" priority="4">
      <formula>BU2="N"</formula>
    </cfRule>
  </conditionalFormatting>
  <conditionalFormatting sqref="BO2:BO80">
    <cfRule type="expression" dxfId="6" priority="5">
      <formula>BO2="High"</formula>
    </cfRule>
  </conditionalFormatting>
  <conditionalFormatting sqref="BO2:BO80">
    <cfRule type="expression" dxfId="5" priority="6">
      <formula>BO2="Low"</formula>
    </cfRule>
  </conditionalFormatting>
  <conditionalFormatting sqref="BO2:BO80">
    <cfRule type="expression" dxfId="6" priority="7">
      <formula>BO2="High"</formula>
    </cfRule>
  </conditionalFormatting>
  <conditionalFormatting sqref="BO2:BO80">
    <cfRule type="expression" dxfId="5" priority="8">
      <formula>BO2="Low"</formula>
    </cfRule>
  </conditionalFormatting>
  <conditionalFormatting sqref="BV2:BV80">
    <cfRule type="expression" dxfId="5" priority="9">
      <formula>AND(ISNUMBER(BV2),BV2&lt;=25)</formula>
    </cfRule>
  </conditionalFormatting>
  <conditionalFormatting sqref="BV2:BV80">
    <cfRule type="expression" dxfId="5" priority="10">
      <formula>AND(ISNUMBER(BV2),BV2&lt;=25)</formula>
    </cfRule>
  </conditionalFormatting>
  <conditionalFormatting sqref="BP2:BP80">
    <cfRule type="colorScale" priority="11">
      <colorScale>
        <cfvo type="formula" val="0"/>
        <cfvo type="formula" val="0.5"/>
        <cfvo type="formula" val="1"/>
        <color rgb="FFF8696B"/>
        <color rgb="FFFFEB84"/>
        <color rgb="FF63BE7B"/>
      </colorScale>
    </cfRule>
  </conditionalFormatting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K1"/>
    <hyperlink r:id="rId12" ref="L1"/>
    <hyperlink r:id="rId13" ref="M1"/>
    <hyperlink r:id="rId14" ref="N1"/>
    <hyperlink r:id="rId15" ref="O1"/>
    <hyperlink r:id="rId16" ref="P1"/>
    <hyperlink r:id="rId17" ref="Q1"/>
    <hyperlink r:id="rId18" ref="R1"/>
    <hyperlink r:id="rId19" ref="S1"/>
    <hyperlink r:id="rId20" ref="T1"/>
    <hyperlink r:id="rId21" ref="U1"/>
    <hyperlink r:id="rId22" ref="V1"/>
    <hyperlink r:id="rId23" ref="W1"/>
    <hyperlink r:id="rId24" ref="X1"/>
    <hyperlink r:id="rId25" ref="Y1"/>
    <hyperlink r:id="rId26" ref="Z1"/>
    <hyperlink r:id="rId27" ref="AA1"/>
    <hyperlink r:id="rId28" ref="AB1"/>
    <hyperlink r:id="rId29" ref="AC1"/>
    <hyperlink r:id="rId30" ref="AD1"/>
    <hyperlink r:id="rId31" ref="B2"/>
    <hyperlink r:id="rId32" ref="B3"/>
    <hyperlink r:id="rId33" ref="B4"/>
    <hyperlink r:id="rId34" ref="B5"/>
    <hyperlink r:id="rId35" ref="B6"/>
    <hyperlink r:id="rId36" ref="B7"/>
    <hyperlink r:id="rId37" ref="B8"/>
    <hyperlink r:id="rId38" ref="B9"/>
    <hyperlink r:id="rId39" ref="B10"/>
    <hyperlink r:id="rId40" ref="B11"/>
    <hyperlink r:id="rId41" ref="B12"/>
    <hyperlink r:id="rId42" ref="B13"/>
    <hyperlink r:id="rId43" ref="B14"/>
    <hyperlink r:id="rId44" ref="B15"/>
    <hyperlink r:id="rId45" ref="B16"/>
    <hyperlink r:id="rId46" ref="B17"/>
    <hyperlink r:id="rId47" ref="B18"/>
    <hyperlink r:id="rId48" ref="B19"/>
    <hyperlink r:id="rId49" ref="B20"/>
    <hyperlink r:id="rId50" ref="B21"/>
    <hyperlink r:id="rId51" ref="B22"/>
    <hyperlink r:id="rId52" ref="B23"/>
    <hyperlink r:id="rId53" ref="B24"/>
    <hyperlink r:id="rId54" ref="B25"/>
    <hyperlink r:id="rId55" ref="B26"/>
    <hyperlink r:id="rId56" ref="B27"/>
    <hyperlink r:id="rId57" ref="B28"/>
    <hyperlink r:id="rId58" ref="B29"/>
    <hyperlink r:id="rId59" ref="B30"/>
    <hyperlink r:id="rId60" ref="B31"/>
    <hyperlink r:id="rId61" ref="B32"/>
    <hyperlink r:id="rId62" ref="B33"/>
    <hyperlink r:id="rId63" ref="B34"/>
    <hyperlink r:id="rId64" ref="B35"/>
    <hyperlink r:id="rId65" ref="B36"/>
    <hyperlink r:id="rId66" ref="B37"/>
    <hyperlink r:id="rId67" ref="B38"/>
    <hyperlink r:id="rId68" ref="B39"/>
    <hyperlink r:id="rId69" ref="B40"/>
    <hyperlink r:id="rId70" ref="B41"/>
    <hyperlink r:id="rId71" ref="B42"/>
    <hyperlink r:id="rId72" ref="B43"/>
    <hyperlink r:id="rId73" ref="B44"/>
    <hyperlink r:id="rId74" ref="B45"/>
    <hyperlink r:id="rId75" ref="B46"/>
    <hyperlink r:id="rId76" ref="B47"/>
    <hyperlink r:id="rId77" ref="B48"/>
    <hyperlink r:id="rId78" ref="B49"/>
    <hyperlink r:id="rId79" ref="B50"/>
    <hyperlink r:id="rId80" ref="B51"/>
    <hyperlink r:id="rId81" ref="B52"/>
    <hyperlink r:id="rId82" ref="B53"/>
    <hyperlink r:id="rId83" ref="B54"/>
    <hyperlink r:id="rId84" ref="B55"/>
    <hyperlink r:id="rId85" ref="B56"/>
    <hyperlink r:id="rId86" ref="B57"/>
    <hyperlink r:id="rId87" ref="B58"/>
    <hyperlink r:id="rId88" ref="B59"/>
    <hyperlink r:id="rId89" ref="B60"/>
    <hyperlink r:id="rId90" ref="B61"/>
    <hyperlink r:id="rId91" ref="B62"/>
    <hyperlink r:id="rId92" ref="B63"/>
    <hyperlink r:id="rId93" ref="B64"/>
    <hyperlink r:id="rId94" ref="B65"/>
    <hyperlink r:id="rId95" ref="B66"/>
    <hyperlink r:id="rId96" ref="B67"/>
    <hyperlink r:id="rId97" ref="B68"/>
    <hyperlink r:id="rId98" ref="B69"/>
    <hyperlink r:id="rId99" ref="B70"/>
    <hyperlink r:id="rId100" ref="B71"/>
    <hyperlink r:id="rId101" ref="B72"/>
    <hyperlink r:id="rId102" ref="B73"/>
    <hyperlink r:id="rId103" ref="B74"/>
    <hyperlink r:id="rId104" ref="B75"/>
    <hyperlink r:id="rId105" ref="B76"/>
    <hyperlink r:id="rId106" ref="B77"/>
    <hyperlink r:id="rId107" ref="B78"/>
    <hyperlink r:id="rId108" ref="B79"/>
    <hyperlink r:id="rId109" ref="B80"/>
  </hyperlinks>
  <printOptions/>
  <pageMargins bottom="1.0" footer="0.0" header="0.0" left="0.75" right="0.75" top="1.0"/>
  <pageSetup orientation="landscape"/>
  <drawing r:id="rId1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8.0"/>
    <col customWidth="1" min="3" max="26" width="8.63"/>
  </cols>
  <sheetData>
    <row r="1">
      <c r="A1" s="8" t="s">
        <v>365</v>
      </c>
      <c r="B1" s="8" t="s">
        <v>366</v>
      </c>
    </row>
    <row r="2">
      <c r="A2" s="11" t="s">
        <v>367</v>
      </c>
      <c r="B2" s="11">
        <v>79.0</v>
      </c>
    </row>
    <row r="3">
      <c r="A3" s="11" t="s">
        <v>368</v>
      </c>
      <c r="B3" s="11">
        <v>58.0</v>
      </c>
    </row>
    <row r="4">
      <c r="A4" s="11" t="s">
        <v>369</v>
      </c>
      <c r="B4" s="11">
        <v>25.0</v>
      </c>
    </row>
    <row r="5">
      <c r="A5" s="11" t="s">
        <v>370</v>
      </c>
      <c r="B5" s="11">
        <v>0.509259143726773</v>
      </c>
    </row>
    <row r="6">
      <c r="A6" s="11" t="s">
        <v>371</v>
      </c>
      <c r="B6" s="11">
        <v>0.5302761333924948</v>
      </c>
    </row>
    <row r="7">
      <c r="A7" s="11" t="s">
        <v>372</v>
      </c>
      <c r="B7" s="11">
        <v>22.47258620689655</v>
      </c>
    </row>
    <row r="8">
      <c r="A8" s="11" t="s">
        <v>373</v>
      </c>
      <c r="B8" s="11">
        <v>3.905964912280703</v>
      </c>
    </row>
    <row r="9">
      <c r="A9" s="11" t="s">
        <v>374</v>
      </c>
      <c r="B9" s="11">
        <v>12.31862068965517</v>
      </c>
    </row>
    <row r="10">
      <c r="A10" s="11" t="s">
        <v>375</v>
      </c>
      <c r="B10" s="11">
        <v>0.3724137931034482</v>
      </c>
    </row>
    <row r="11">
      <c r="A11" s="11" t="s">
        <v>376</v>
      </c>
      <c r="B11" s="11">
        <v>14.79473684210526</v>
      </c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5.0"/>
    <col customWidth="1" min="2" max="2" width="24.0"/>
    <col customWidth="1" min="3" max="3" width="40.0"/>
    <col customWidth="1" min="4" max="26" width="8.63"/>
  </cols>
  <sheetData>
    <row r="1">
      <c r="A1" s="8" t="s">
        <v>8</v>
      </c>
      <c r="B1" s="8" t="s">
        <v>377</v>
      </c>
      <c r="C1" s="8" t="s">
        <v>378</v>
      </c>
    </row>
    <row r="2">
      <c r="A2" s="11" t="s">
        <v>58</v>
      </c>
      <c r="B2" s="11" t="s">
        <v>59</v>
      </c>
    </row>
    <row r="3">
      <c r="A3" s="11" t="s">
        <v>122</v>
      </c>
      <c r="B3" s="11" t="s">
        <v>46</v>
      </c>
    </row>
    <row r="4">
      <c r="A4" s="11" t="s">
        <v>327</v>
      </c>
      <c r="B4" s="11" t="s">
        <v>46</v>
      </c>
    </row>
    <row r="5">
      <c r="A5" s="11" t="s">
        <v>104</v>
      </c>
      <c r="B5" s="11" t="s">
        <v>46</v>
      </c>
    </row>
    <row r="6">
      <c r="A6" s="11" t="s">
        <v>183</v>
      </c>
      <c r="B6" s="11" t="s">
        <v>46</v>
      </c>
    </row>
    <row r="7">
      <c r="A7" s="11" t="s">
        <v>342</v>
      </c>
      <c r="B7" s="11" t="s">
        <v>46</v>
      </c>
    </row>
    <row r="8">
      <c r="A8" s="11" t="s">
        <v>73</v>
      </c>
      <c r="B8" s="11" t="s">
        <v>46</v>
      </c>
    </row>
    <row r="9">
      <c r="A9" s="11" t="s">
        <v>45</v>
      </c>
      <c r="B9" s="11" t="s">
        <v>46</v>
      </c>
    </row>
    <row r="10">
      <c r="A10" s="11" t="s">
        <v>88</v>
      </c>
      <c r="B10" s="11" t="s">
        <v>46</v>
      </c>
    </row>
    <row r="11">
      <c r="A11" s="11" t="s">
        <v>209</v>
      </c>
      <c r="B11" s="11" t="s">
        <v>46</v>
      </c>
    </row>
    <row r="12">
      <c r="A12" s="11" t="s">
        <v>119</v>
      </c>
      <c r="B12" s="11" t="s">
        <v>46</v>
      </c>
    </row>
    <row r="13">
      <c r="A13" s="11" t="s">
        <v>101</v>
      </c>
      <c r="B13" s="11" t="s">
        <v>46</v>
      </c>
    </row>
    <row r="14">
      <c r="A14" s="11" t="s">
        <v>154</v>
      </c>
      <c r="B14" s="11" t="s">
        <v>46</v>
      </c>
    </row>
    <row r="15">
      <c r="A15" s="11" t="s">
        <v>76</v>
      </c>
      <c r="B15" s="11" t="s">
        <v>46</v>
      </c>
    </row>
    <row r="16">
      <c r="A16" s="11" t="s">
        <v>339</v>
      </c>
      <c r="B16" s="11" t="s">
        <v>46</v>
      </c>
    </row>
    <row r="17">
      <c r="A17" s="11" t="s">
        <v>206</v>
      </c>
      <c r="B17" s="11" t="s">
        <v>46</v>
      </c>
    </row>
    <row r="18">
      <c r="A18" s="11" t="s">
        <v>137</v>
      </c>
      <c r="B18" s="11" t="s">
        <v>46</v>
      </c>
    </row>
    <row r="19">
      <c r="A19" s="11" t="s">
        <v>85</v>
      </c>
      <c r="B19" s="11" t="s">
        <v>46</v>
      </c>
    </row>
    <row r="20">
      <c r="A20" s="11" t="s">
        <v>94</v>
      </c>
      <c r="B20" s="11" t="s">
        <v>95</v>
      </c>
    </row>
    <row r="21" ht="15.75" customHeight="1">
      <c r="A21" s="11" t="s">
        <v>41</v>
      </c>
      <c r="B21" s="11" t="s">
        <v>42</v>
      </c>
    </row>
    <row r="22" ht="15.75" customHeight="1">
      <c r="A22" s="11" t="s">
        <v>336</v>
      </c>
      <c r="B22" s="11" t="s">
        <v>315</v>
      </c>
    </row>
    <row r="23" ht="15.75" customHeight="1">
      <c r="A23" s="11" t="s">
        <v>314</v>
      </c>
      <c r="B23" s="11" t="s">
        <v>315</v>
      </c>
    </row>
    <row r="24" ht="15.75" customHeight="1">
      <c r="A24" s="11" t="s">
        <v>351</v>
      </c>
      <c r="B24" s="11" t="s">
        <v>315</v>
      </c>
    </row>
    <row r="25" ht="15.75" customHeight="1">
      <c r="A25" s="11" t="s">
        <v>305</v>
      </c>
      <c r="B25" s="11" t="s">
        <v>33</v>
      </c>
    </row>
    <row r="26" ht="15.75" customHeight="1">
      <c r="A26" s="11" t="s">
        <v>134</v>
      </c>
      <c r="B26" s="11" t="s">
        <v>33</v>
      </c>
    </row>
    <row r="27" ht="15.75" customHeight="1">
      <c r="A27" s="11" t="s">
        <v>32</v>
      </c>
      <c r="B27" s="11" t="s">
        <v>33</v>
      </c>
    </row>
    <row r="28" ht="15.75" customHeight="1">
      <c r="A28" s="11" t="s">
        <v>107</v>
      </c>
      <c r="B28" s="11" t="s">
        <v>55</v>
      </c>
    </row>
    <row r="29" ht="15.75" customHeight="1">
      <c r="A29" s="11" t="s">
        <v>311</v>
      </c>
      <c r="B29" s="11" t="s">
        <v>55</v>
      </c>
    </row>
    <row r="30" ht="15.75" customHeight="1">
      <c r="A30" s="11" t="s">
        <v>186</v>
      </c>
      <c r="B30" s="11" t="s">
        <v>55</v>
      </c>
    </row>
    <row r="31" ht="15.75" customHeight="1">
      <c r="A31" s="11" t="s">
        <v>54</v>
      </c>
      <c r="B31" s="11" t="s">
        <v>55</v>
      </c>
    </row>
    <row r="32" ht="15.75" customHeight="1">
      <c r="A32" s="11" t="s">
        <v>345</v>
      </c>
      <c r="B32" s="11" t="s">
        <v>55</v>
      </c>
    </row>
    <row r="33" ht="15.75" customHeight="1">
      <c r="A33" s="11" t="s">
        <v>151</v>
      </c>
      <c r="B33" s="11" t="s">
        <v>55</v>
      </c>
    </row>
    <row r="34" ht="15.75" customHeight="1">
      <c r="A34" s="11" t="s">
        <v>110</v>
      </c>
      <c r="B34" s="11" t="s">
        <v>55</v>
      </c>
    </row>
    <row r="35" ht="15.75" customHeight="1">
      <c r="A35" s="11" t="s">
        <v>189</v>
      </c>
      <c r="B35" s="11" t="s">
        <v>55</v>
      </c>
    </row>
    <row r="36" ht="15.75" customHeight="1">
      <c r="A36" s="11" t="s">
        <v>348</v>
      </c>
      <c r="B36" s="11" t="s">
        <v>67</v>
      </c>
    </row>
    <row r="37" ht="15.75" customHeight="1">
      <c r="A37" s="11" t="s">
        <v>192</v>
      </c>
      <c r="B37" s="11" t="s">
        <v>67</v>
      </c>
    </row>
    <row r="38" ht="15.75" customHeight="1">
      <c r="A38" s="11" t="s">
        <v>116</v>
      </c>
      <c r="B38" s="11" t="s">
        <v>67</v>
      </c>
    </row>
    <row r="39" ht="15.75" customHeight="1">
      <c r="A39" s="11" t="s">
        <v>140</v>
      </c>
      <c r="B39" s="11" t="s">
        <v>67</v>
      </c>
    </row>
    <row r="40" ht="15.75" customHeight="1">
      <c r="A40" s="11" t="s">
        <v>148</v>
      </c>
      <c r="B40" s="11" t="s">
        <v>67</v>
      </c>
    </row>
    <row r="41" ht="15.75" customHeight="1">
      <c r="A41" s="11" t="s">
        <v>70</v>
      </c>
      <c r="B41" s="11" t="s">
        <v>67</v>
      </c>
    </row>
    <row r="42" ht="15.75" customHeight="1">
      <c r="A42" s="11" t="s">
        <v>195</v>
      </c>
      <c r="B42" s="11" t="s">
        <v>67</v>
      </c>
    </row>
    <row r="43" ht="15.75" customHeight="1">
      <c r="A43" s="11" t="s">
        <v>143</v>
      </c>
      <c r="B43" s="11" t="s">
        <v>67</v>
      </c>
    </row>
    <row r="44" ht="15.75" customHeight="1">
      <c r="A44" s="11" t="s">
        <v>324</v>
      </c>
      <c r="B44" s="11" t="s">
        <v>67</v>
      </c>
    </row>
    <row r="45" ht="15.75" customHeight="1">
      <c r="A45" s="11" t="s">
        <v>357</v>
      </c>
      <c r="B45" s="11" t="s">
        <v>67</v>
      </c>
    </row>
    <row r="46" ht="15.75" customHeight="1">
      <c r="A46" s="11" t="s">
        <v>318</v>
      </c>
      <c r="B46" s="11" t="s">
        <v>67</v>
      </c>
    </row>
    <row r="47" ht="15.75" customHeight="1">
      <c r="A47" s="11" t="s">
        <v>98</v>
      </c>
      <c r="B47" s="11" t="s">
        <v>67</v>
      </c>
    </row>
    <row r="48" ht="15.75" customHeight="1">
      <c r="A48" s="11" t="s">
        <v>66</v>
      </c>
      <c r="B48" s="11" t="s">
        <v>67</v>
      </c>
    </row>
    <row r="49" ht="15.75" customHeight="1">
      <c r="A49" s="11" t="s">
        <v>163</v>
      </c>
      <c r="B49" s="11" t="s">
        <v>67</v>
      </c>
    </row>
    <row r="50" ht="15.75" customHeight="1">
      <c r="A50" s="11" t="s">
        <v>160</v>
      </c>
      <c r="B50" s="11" t="s">
        <v>67</v>
      </c>
    </row>
    <row r="51" ht="15.75" customHeight="1">
      <c r="A51" s="11" t="s">
        <v>362</v>
      </c>
      <c r="B51" s="11" t="s">
        <v>67</v>
      </c>
    </row>
    <row r="52" ht="15.75" customHeight="1">
      <c r="A52" s="11" t="s">
        <v>198</v>
      </c>
      <c r="B52" s="11" t="s">
        <v>67</v>
      </c>
    </row>
    <row r="53" ht="15.75" customHeight="1">
      <c r="A53" s="11" t="s">
        <v>91</v>
      </c>
      <c r="B53" s="11" t="s">
        <v>38</v>
      </c>
    </row>
    <row r="54" ht="15.75" customHeight="1">
      <c r="A54" s="11" t="s">
        <v>79</v>
      </c>
      <c r="B54" s="11" t="s">
        <v>38</v>
      </c>
    </row>
    <row r="55" ht="15.75" customHeight="1">
      <c r="A55" s="11" t="s">
        <v>128</v>
      </c>
      <c r="B55" s="11" t="s">
        <v>38</v>
      </c>
    </row>
    <row r="56" ht="15.75" customHeight="1">
      <c r="A56" s="11" t="s">
        <v>169</v>
      </c>
      <c r="B56" s="11" t="s">
        <v>38</v>
      </c>
    </row>
    <row r="57" ht="15.75" customHeight="1">
      <c r="A57" s="11" t="s">
        <v>354</v>
      </c>
      <c r="B57" s="11" t="s">
        <v>38</v>
      </c>
    </row>
    <row r="58" ht="15.75" customHeight="1">
      <c r="A58" s="11" t="s">
        <v>174</v>
      </c>
      <c r="B58" s="11" t="s">
        <v>38</v>
      </c>
    </row>
    <row r="59" ht="15.75" customHeight="1">
      <c r="A59" s="11" t="s">
        <v>166</v>
      </c>
      <c r="B59" s="11" t="s">
        <v>38</v>
      </c>
    </row>
    <row r="60" ht="15.75" customHeight="1">
      <c r="A60" s="11" t="s">
        <v>308</v>
      </c>
      <c r="B60" s="11" t="s">
        <v>38</v>
      </c>
    </row>
    <row r="61" ht="15.75" customHeight="1">
      <c r="A61" s="11" t="s">
        <v>37</v>
      </c>
      <c r="B61" s="11" t="s">
        <v>38</v>
      </c>
    </row>
    <row r="62" ht="15.75" customHeight="1">
      <c r="A62" s="11" t="s">
        <v>179</v>
      </c>
      <c r="B62" s="11" t="s">
        <v>38</v>
      </c>
    </row>
    <row r="63" ht="15.75" customHeight="1">
      <c r="A63" s="11" t="s">
        <v>201</v>
      </c>
      <c r="B63" s="11" t="s">
        <v>50</v>
      </c>
    </row>
    <row r="64" ht="15.75" customHeight="1">
      <c r="A64" s="11" t="s">
        <v>49</v>
      </c>
      <c r="B64" s="11" t="s">
        <v>50</v>
      </c>
    </row>
    <row r="65" ht="15.75" customHeight="1">
      <c r="A65" s="11" t="s">
        <v>157</v>
      </c>
      <c r="B65" s="11" t="s">
        <v>50</v>
      </c>
    </row>
    <row r="66" ht="15.75" customHeight="1">
      <c r="A66" s="11" t="s">
        <v>82</v>
      </c>
      <c r="B66" s="11" t="s">
        <v>50</v>
      </c>
    </row>
    <row r="67" ht="15.75" customHeight="1">
      <c r="A67" s="11" t="s">
        <v>125</v>
      </c>
      <c r="B67" s="11" t="s">
        <v>50</v>
      </c>
    </row>
    <row r="68" ht="15.75" customHeight="1">
      <c r="A68" s="11" t="s">
        <v>62</v>
      </c>
      <c r="B68" s="11" t="s">
        <v>63</v>
      </c>
    </row>
    <row r="69" ht="15.75" customHeight="1">
      <c r="A69" s="11" t="s">
        <v>113</v>
      </c>
      <c r="B69" s="11" t="s">
        <v>63</v>
      </c>
    </row>
    <row r="70" ht="15.75" customHeight="1">
      <c r="A70" s="11" t="s">
        <v>321</v>
      </c>
      <c r="B70" s="11" t="s">
        <v>63</v>
      </c>
    </row>
    <row r="71" ht="15.75" customHeight="1">
      <c r="A71" s="11" t="s">
        <v>212</v>
      </c>
      <c r="B71" s="11" t="s">
        <v>63</v>
      </c>
    </row>
    <row r="72" ht="15.75" customHeight="1">
      <c r="A72" s="11" t="s">
        <v>131</v>
      </c>
      <c r="B72" s="11" t="s">
        <v>63</v>
      </c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autoFilter ref="$A$1:$C$72"/>
  <printOptions/>
  <pageMargins bottom="1.0" footer="0.0" header="0.0" left="0.75" right="0.75" top="1.0"/>
  <pageSetup orientation="landscape"/>
  <drawing r:id="rId1"/>
</worksheet>
</file>